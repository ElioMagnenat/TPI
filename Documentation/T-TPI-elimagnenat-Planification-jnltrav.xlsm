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BC1BCF8C-1DDD-4112-BBDF-1BC49820B84D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C36" i="12"/>
  <c r="D35" i="12"/>
  <c r="D34" i="12"/>
  <c r="D33" i="12"/>
  <c r="C48" i="12"/>
  <c r="D47" i="12"/>
  <c r="D46" i="12"/>
  <c r="D45" i="12"/>
  <c r="D44" i="12"/>
  <c r="D43" i="12"/>
  <c r="D42" i="12"/>
  <c r="C60" i="12"/>
  <c r="D59" i="12"/>
  <c r="D58" i="12"/>
  <c r="D57" i="12"/>
  <c r="D56" i="12"/>
  <c r="D55" i="12"/>
  <c r="C72" i="12"/>
  <c r="D71" i="12"/>
  <c r="D70" i="12"/>
  <c r="D69" i="12"/>
  <c r="C84" i="12"/>
  <c r="D83" i="12"/>
  <c r="D82" i="12"/>
  <c r="D81" i="12"/>
  <c r="D80" i="12"/>
  <c r="D79" i="12"/>
  <c r="D78" i="12"/>
  <c r="C96" i="12"/>
  <c r="D95" i="12"/>
  <c r="C108" i="12"/>
  <c r="D107" i="12"/>
  <c r="D106" i="12"/>
  <c r="D105" i="12"/>
  <c r="D104" i="12"/>
  <c r="C120" i="12"/>
  <c r="D119" i="12"/>
  <c r="D118" i="12"/>
  <c r="D117" i="12"/>
  <c r="D116" i="12"/>
  <c r="D115" i="12"/>
  <c r="D114" i="12"/>
  <c r="C132" i="12"/>
  <c r="D131" i="12"/>
  <c r="D130" i="12"/>
  <c r="D129" i="12"/>
  <c r="D128" i="12"/>
  <c r="D127" i="12"/>
  <c r="D126" i="12"/>
  <c r="C144" i="12"/>
  <c r="D143" i="12"/>
  <c r="D142" i="12"/>
  <c r="D141" i="12"/>
  <c r="D140" i="12"/>
  <c r="D139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56" i="12"/>
  <c r="D155" i="12"/>
  <c r="D154" i="12"/>
  <c r="D153" i="12"/>
  <c r="D152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38" i="12"/>
  <c r="D21" i="12"/>
  <c r="D20" i="12"/>
  <c r="D32" i="12"/>
  <c r="D19" i="12"/>
  <c r="D17" i="12"/>
  <c r="D16" i="12"/>
  <c r="D18" i="12"/>
  <c r="D5" i="12"/>
  <c r="D4" i="12"/>
  <c r="D12" i="12"/>
  <c r="D31" i="12"/>
  <c r="D30" i="12"/>
  <c r="D24" i="12"/>
  <c r="D29" i="12"/>
  <c r="D28" i="12"/>
  <c r="D36" i="12"/>
  <c r="D54" i="12"/>
  <c r="D96" i="12"/>
  <c r="D102" i="12"/>
  <c r="D125" i="12"/>
  <c r="D132" i="12"/>
  <c r="D100" i="12"/>
  <c r="D148" i="12"/>
  <c r="D52" i="12"/>
  <c r="D60" i="12"/>
  <c r="D101" i="12"/>
  <c r="D156" i="12"/>
  <c r="D90" i="12"/>
  <c r="D92" i="12"/>
  <c r="D72" i="12"/>
  <c r="D103" i="12"/>
  <c r="D151" i="12"/>
  <c r="D93" i="12"/>
  <c r="D64" i="12"/>
  <c r="D53" i="12"/>
  <c r="D124" i="12"/>
  <c r="D149" i="12"/>
  <c r="D112" i="12"/>
  <c r="D88" i="12"/>
  <c r="D144" i="12"/>
  <c r="D150" i="12"/>
  <c r="D136" i="12"/>
  <c r="D108" i="12"/>
  <c r="D89" i="12"/>
  <c r="D41" i="12"/>
  <c r="D137" i="12"/>
  <c r="D113" i="12"/>
  <c r="D40" i="12"/>
  <c r="D48" i="12"/>
  <c r="D91" i="12"/>
  <c r="D84" i="12"/>
  <c r="D94" i="12"/>
  <c r="D66" i="12"/>
  <c r="D120" i="12"/>
  <c r="D67" i="12"/>
  <c r="D77" i="12"/>
  <c r="D68" i="12"/>
  <c r="D76" i="12"/>
  <c r="D65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<sst xmlns="http://schemas.openxmlformats.org/spreadsheetml/2006/main" count="1033" uniqueCount="213">
  <si>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</si>
  <si>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</si>
  <si>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</si>
  <si>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</si>
  <si>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</si>
  <si>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</si>
  <si>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</si>
  <si>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</si>
  <si>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</si>
  <si>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</si>
  <si>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</si>
  <si>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</si>
  <si>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</si>
  <si>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</si>
  <si>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</si>
  <si>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</si>
  <si>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</si>
  <si>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</si>
  <si>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</si>
  <si>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</si>
  <si>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</si>
  <si>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</si>
  <si>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</si>
  <si>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</si>
  <si>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</si>
  <si>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</si>
  <si>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</si>
  <si>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</si>
  <si>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</si>
  <si>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</si>
  <si>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</si>
  <si>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</si>
  <si>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</si>
  <si>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</si>
  <si>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</si>
  <si>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</si>
  <si>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</si>
  <si>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</si>
  <si>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</si>
  <si>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</si>
  <si>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</si>
  <si>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</si>
  <si>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</si>
  <si>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</si>
  <si>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</si>
  <si>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</si>
  <si>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</si>
  <si>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</si>
  <si>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</si>
  <si>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</si>
  <si>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</si>
  <si>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</si>
  <si>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</si>
  <si>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</si>
  <si>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</si>
  <si>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</si>
  <si>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</si>
  <si>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</si>
  <si>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</si>
  <si>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</si>
  <si>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</si>
  <si>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</si>
  <si>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</si>
  <si>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</si>
  <si>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</si>
  <si>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</si>
  <si>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</si>
  <si>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</si>
  <si>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</si>
  <si>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</si>
  <si>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</si>
  <si>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</si>
  <si>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</si>
  <si>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</si>
  <si>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</si>
  <si>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</si>
  <si>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</si>
  <si>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</si>
  <si>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</si>
  <si>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</si>
  <si>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</si>
  <si>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</si>
  <si>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</si>
  <si>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</si>
  <si>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</si>
  <si>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</si>
  <si>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</si>
  <si>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</si>
  <si>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</si>
  <si>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</si>
  <si>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</si>
  <si>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</si>
  <si>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</si>
  <si>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</si>
  <si>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</si>
  <si>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</si>
  <si>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</si>
  <si>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</si>
  <si>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</si>
  <si>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</si>
  <si>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</si>
  <si>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</si>
  <si>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</si>
  <si>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</si>
  <si>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</si>
  <si>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</si>
  <si>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</si>
  <si>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</si>
  <si>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</si>
  <si>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</si>
  <si>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</si>
  <si>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</si>
  <si>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</si>
  <si>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</si>
  <si>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</si>
  <si>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</si>
  <si>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</si>
  <si>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</si>
  <si>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</si>
  <si>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</si>
  <si>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</si>
  <si>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</si>
  <si>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</si>
  <si>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</si>
  <si>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</si>
  <si>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</si>
  <si>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</si>
  <si>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</si>
  <si>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</si>
  <si>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</si>
  <si>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</si>
  <si>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</si>
  <si>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</si>
  <si>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</si>
  <si>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</si>
  <si>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</si>
  <si>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</si>
  <si>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</si>
  <si>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</si>
  <si>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</si>
  <si>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</si>
  <si>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</si>
  <si>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</si>
  <si>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</si>
  <si>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</si>
  <si>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</si>
  <si>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</si>
  <si>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</si>
  <si>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</si>
  <si>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</si>
  <si>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</si>
  <si>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</si>
  <si>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</si>
  <si>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</si>
  <si>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</si>
  <si>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</si>
  <si>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</si>
  <si>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</si>
  <si>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</si>
  <si>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</si>
  <si>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</si>
  <si>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</si>
  <si>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</si>
  <si>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</si>
  <si>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</si>
  <si>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</si>
  <si>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</si>
  <si>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</si>
  <si>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</si>
  <si>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</si>
  <si>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</si>
  <si>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</si>
  <si>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</si>
  <si>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</si>
  <si>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</si>
  <si>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</si>
  <si>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</si>
  <si>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</si>
  <si>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</si>
  <si>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</si>
  <si>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</si>
  <si>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</si>
  <si>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</si>
  <si>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</si>
  <si>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</si>
  <si>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</si>
  <si>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</si>
  <si>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</si>
  <si>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</si>
  <si>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</si>
  <si>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</si>
  <si>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</si>
  <si>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</si>
  <si>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</si>
  <si>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</si>
  <si>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</si>
  <si>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</si>
  <si>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</si>
  <si>
    <t>Création de la page en utilisant la structure du catalogue et adaptation de la datatable</t>
  </si>
  <si>
    <t>https://stackoverflow.com/questions/42035496/should-must-i-use-pdoparam-null-when-binding-a-value-that-is-null?utm_source=chatgpt.com</t>
  </si>
  <si>
    <t xml:space="preserve">Création du formulaire et contrôle des champs obligatoires,temps perdu car j'avais une erreur 404 sur mon fichier js et j'ai mis beaucoup de temps à remarquer qu'il y avati deux points avant js dans le nom du fichier </t>
  </si>
  <si>
    <t>https://datatables.net/plug-ins/sorting/date-euro</t>
  </si>
  <si>
    <t>Documentation de la liste d'élèves</t>
  </si>
  <si>
    <t>Documentation du formulaire dajout d'élèves</t>
  </si>
  <si>
    <t>https://getbootstrap.com/docs/5.0/forms/form-control/</t>
  </si>
  <si>
    <t xml:space="preserve">Création du formulaire de modification d'un élève et gestion de la suppression de l'ancienne photo (Je l'ai aussi rajouté pour le formulaire de modification d'un livre) </t>
  </si>
  <si>
    <t>Documentation du formulaire de modification</t>
  </si>
  <si>
    <t>Création de la page détail de l'élève et ajout du bouton d'impressions (pour l'instant il se contente d'imprimer les informations de l'élève sans les emprunts)</t>
  </si>
  <si>
    <t xml:space="preserve">Documentation de la page  détail d'un élève </t>
  </si>
  <si>
    <t xml:space="preserve"> Création de la page détail d'un live en utilisant la même structure que celle des élèves</t>
  </si>
  <si>
    <t>Gestion de la suppression des élèves depuis la liste</t>
  </si>
  <si>
    <t xml:space="preserve">Gesion de la suppresion des livres depuis la liste </t>
  </si>
  <si>
    <t>Rendu aux experts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</si>
</sst>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367899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8.emf"/><Relationship Id="rId3" Type="http://schemas.openxmlformats.org/officeDocument/2006/relationships/hyperlink" Target="https://stackoverflow.com/questions/42035496/should-must-i-use-pdoparam-null-when-binding-a-value-that-is-null?utm_source=chatgpt.com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7.xml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hyperlink" Target="https://getbootstrap.com/docs/5.0/forms/form-control/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etbootstrap.com/docs/5.0/forms/form-control/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datatables.net/plug-ins/sorting/date-euro" TargetMode="External"/><Relationship Id="rId9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zoomScale="55" zoomScaleNormal="55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2" t="s">
        <v>3</v>
      </c>
      <c r="D1" s="192"/>
      <c r="E1" s="19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3"/>
      <c r="D7" s="193"/>
      <c r="E7" s="19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0" t="str">
        <f>E96</f>
        <v>89h 55 min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94"/>
      <c r="W9" s="191" t="s">
        <v>12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0" t="str">
        <f>E98</f>
        <v>8h 10 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2"/>
      <c r="D11" s="212"/>
      <c r="E11" s="212"/>
      <c r="F11" s="211" t="s">
        <v>65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65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86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94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94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117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117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116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116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128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127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127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138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138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156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156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155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154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154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153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153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152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152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160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161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161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166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13"/>
      <c r="D12" s="213"/>
      <c r="E12" s="213"/>
      <c r="F12" s="219" t="s">
        <v>70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74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20" t="s">
        <v>74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10" t="s">
        <v>70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74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70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74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70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74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74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70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74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70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74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70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74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74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70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74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70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74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70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74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74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74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70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217" t="s">
        <v>13</v>
      </c>
      <c r="D13" s="117"/>
      <c r="E13" s="215" t="s">
        <v>14</v>
      </c>
      <c r="F13" s="207" t="s">
        <v>15</v>
      </c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9"/>
      <c r="BN13" s="207" t="s">
        <v>16</v>
      </c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9"/>
      <c r="DV13" s="207" t="s">
        <v>17</v>
      </c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9"/>
      <c r="GD13" s="207" t="s">
        <v>18</v>
      </c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9"/>
      <c r="IL13" s="207" t="s">
        <v>19</v>
      </c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9"/>
      <c r="KT13" s="207" t="s">
        <v>20</v>
      </c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9"/>
      <c r="NB13" s="207" t="s">
        <v>21</v>
      </c>
      <c r="NC13" s="208"/>
      <c r="ND13" s="208"/>
      <c r="NE13" s="208"/>
      <c r="NF13" s="208"/>
      <c r="NG13" s="208"/>
      <c r="NH13" s="208"/>
      <c r="NI13" s="208"/>
      <c r="NJ13" s="208"/>
      <c r="NK13" s="208"/>
      <c r="NL13" s="208"/>
      <c r="NM13" s="208"/>
      <c r="NN13" s="208"/>
      <c r="NO13" s="208"/>
      <c r="NP13" s="208"/>
      <c r="NQ13" s="208"/>
      <c r="NR13" s="208"/>
      <c r="NS13" s="208"/>
      <c r="NT13" s="208"/>
      <c r="NU13" s="208"/>
      <c r="NV13" s="208"/>
      <c r="NW13" s="208"/>
      <c r="NX13" s="208"/>
      <c r="NY13" s="208"/>
      <c r="NZ13" s="208"/>
      <c r="OA13" s="208"/>
      <c r="OB13" s="208"/>
      <c r="OC13" s="208"/>
      <c r="OD13" s="208"/>
      <c r="OE13" s="208"/>
      <c r="OF13" s="208"/>
      <c r="OG13" s="208"/>
      <c r="OH13" s="208"/>
      <c r="OI13" s="208"/>
      <c r="OJ13" s="208"/>
      <c r="OK13" s="208"/>
      <c r="OL13" s="208"/>
      <c r="OM13" s="208"/>
      <c r="ON13" s="208"/>
      <c r="OO13" s="208"/>
      <c r="OP13" s="208"/>
      <c r="OQ13" s="208"/>
      <c r="OR13" s="208"/>
      <c r="OS13" s="208"/>
      <c r="OT13" s="208"/>
      <c r="OU13" s="208"/>
      <c r="OV13" s="208"/>
      <c r="OW13" s="208"/>
      <c r="OX13" s="208"/>
      <c r="OY13" s="208"/>
      <c r="OZ13" s="208"/>
      <c r="PA13" s="208"/>
      <c r="PB13" s="208"/>
      <c r="PC13" s="208"/>
      <c r="PD13" s="208"/>
      <c r="PE13" s="208"/>
      <c r="PF13" s="208"/>
      <c r="PG13" s="208"/>
      <c r="PH13" s="208"/>
      <c r="PI13" s="209"/>
      <c r="PJ13" s="207" t="s">
        <v>22</v>
      </c>
      <c r="PK13" s="208"/>
      <c r="PL13" s="208"/>
      <c r="PM13" s="208"/>
      <c r="PN13" s="208"/>
      <c r="PO13" s="208"/>
      <c r="PP13" s="208"/>
      <c r="PQ13" s="208"/>
      <c r="PR13" s="208"/>
      <c r="PS13" s="208"/>
      <c r="PT13" s="208"/>
      <c r="PU13" s="208"/>
      <c r="PV13" s="208"/>
      <c r="PW13" s="208"/>
      <c r="PX13" s="208"/>
      <c r="PY13" s="208"/>
      <c r="PZ13" s="208"/>
      <c r="QA13" s="208"/>
      <c r="QB13" s="208"/>
      <c r="QC13" s="208"/>
      <c r="QD13" s="208"/>
      <c r="QE13" s="208"/>
      <c r="QF13" s="208"/>
      <c r="QG13" s="208"/>
      <c r="QH13" s="208"/>
      <c r="QI13" s="208"/>
      <c r="QJ13" s="208"/>
      <c r="QK13" s="208"/>
      <c r="QL13" s="208"/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  <c r="RK13" s="208"/>
      <c r="RL13" s="208"/>
      <c r="RM13" s="208"/>
      <c r="RN13" s="208"/>
      <c r="RO13" s="208"/>
      <c r="RP13" s="208"/>
      <c r="RQ13" s="209"/>
      <c r="RR13" s="207" t="s">
        <v>23</v>
      </c>
      <c r="RS13" s="208"/>
      <c r="RT13" s="208"/>
      <c r="RU13" s="208"/>
      <c r="RV13" s="208"/>
      <c r="RW13" s="208"/>
      <c r="RX13" s="208"/>
      <c r="RY13" s="208"/>
      <c r="RZ13" s="208"/>
      <c r="SA13" s="208"/>
      <c r="SB13" s="208"/>
      <c r="SC13" s="208"/>
      <c r="SD13" s="208"/>
      <c r="SE13" s="208"/>
      <c r="SF13" s="208"/>
      <c r="SG13" s="208"/>
      <c r="SH13" s="208"/>
      <c r="SI13" s="208"/>
      <c r="SJ13" s="208"/>
      <c r="SK13" s="208"/>
      <c r="SL13" s="208"/>
      <c r="SM13" s="208"/>
      <c r="SN13" s="208"/>
      <c r="SO13" s="208"/>
      <c r="SP13" s="208"/>
      <c r="SQ13" s="208"/>
      <c r="SR13" s="208"/>
      <c r="SS13" s="208"/>
      <c r="ST13" s="208"/>
      <c r="SU13" s="208"/>
      <c r="SV13" s="208"/>
      <c r="SW13" s="208"/>
      <c r="SX13" s="208"/>
      <c r="SY13" s="208"/>
      <c r="SZ13" s="208"/>
      <c r="TA13" s="208"/>
      <c r="TB13" s="208"/>
      <c r="TC13" s="208"/>
      <c r="TD13" s="208"/>
      <c r="TE13" s="208"/>
      <c r="TF13" s="208"/>
      <c r="TG13" s="208"/>
      <c r="TH13" s="208"/>
      <c r="TI13" s="208"/>
      <c r="TJ13" s="208"/>
      <c r="TK13" s="208"/>
      <c r="TL13" s="208"/>
      <c r="TM13" s="208"/>
      <c r="TN13" s="208"/>
      <c r="TO13" s="208"/>
      <c r="TP13" s="208"/>
      <c r="TQ13" s="208"/>
      <c r="TR13" s="208"/>
      <c r="TS13" s="208"/>
      <c r="TT13" s="208"/>
      <c r="TU13" s="208"/>
      <c r="TV13" s="208"/>
      <c r="TW13" s="208"/>
      <c r="TX13" s="208"/>
      <c r="TY13" s="209"/>
      <c r="TZ13" s="207" t="s">
        <v>24</v>
      </c>
      <c r="UA13" s="208"/>
      <c r="UB13" s="208"/>
      <c r="UC13" s="208"/>
      <c r="UD13" s="208"/>
      <c r="UE13" s="208"/>
      <c r="UF13" s="208"/>
      <c r="UG13" s="208"/>
      <c r="UH13" s="208"/>
      <c r="UI13" s="208"/>
      <c r="UJ13" s="208"/>
      <c r="UK13" s="208"/>
      <c r="UL13" s="208"/>
      <c r="UM13" s="208"/>
      <c r="UN13" s="208"/>
      <c r="UO13" s="208"/>
      <c r="UP13" s="208"/>
      <c r="UQ13" s="208"/>
      <c r="UR13" s="208"/>
      <c r="US13" s="208"/>
      <c r="UT13" s="208"/>
      <c r="UU13" s="208"/>
      <c r="UV13" s="208"/>
      <c r="UW13" s="208"/>
      <c r="UX13" s="208"/>
      <c r="UY13" s="208"/>
      <c r="UZ13" s="208"/>
      <c r="VA13" s="208"/>
      <c r="VB13" s="208"/>
      <c r="VC13" s="208"/>
      <c r="VD13" s="208"/>
      <c r="VE13" s="208"/>
      <c r="VF13" s="208"/>
      <c r="VG13" s="208"/>
      <c r="VH13" s="208"/>
      <c r="VI13" s="208"/>
      <c r="VJ13" s="208"/>
      <c r="VK13" s="208"/>
      <c r="VL13" s="208"/>
      <c r="VM13" s="208"/>
      <c r="VN13" s="208"/>
      <c r="VO13" s="208"/>
      <c r="VP13" s="208"/>
      <c r="VQ13" s="208"/>
      <c r="VR13" s="208"/>
      <c r="VS13" s="208"/>
      <c r="VT13" s="208"/>
      <c r="VU13" s="208"/>
      <c r="VV13" s="208"/>
      <c r="VW13" s="208"/>
      <c r="VX13" s="208"/>
      <c r="VY13" s="208"/>
      <c r="VZ13" s="208"/>
      <c r="WA13" s="208"/>
      <c r="WB13" s="208"/>
      <c r="WC13" s="208"/>
      <c r="WD13" s="208"/>
      <c r="WE13" s="208"/>
      <c r="WF13" s="208"/>
      <c r="WG13" s="209"/>
      <c r="WH13" s="207" t="s">
        <v>25</v>
      </c>
      <c r="WI13" s="208"/>
      <c r="WJ13" s="208"/>
      <c r="WK13" s="208"/>
      <c r="WL13" s="208"/>
      <c r="WM13" s="208"/>
      <c r="WN13" s="208"/>
      <c r="WO13" s="208"/>
      <c r="WP13" s="208"/>
      <c r="WQ13" s="208"/>
      <c r="WR13" s="208"/>
      <c r="WS13" s="208"/>
      <c r="WT13" s="208"/>
      <c r="WU13" s="208"/>
      <c r="WV13" s="208"/>
      <c r="WW13" s="208"/>
      <c r="WX13" s="208"/>
      <c r="WY13" s="208"/>
      <c r="WZ13" s="208"/>
      <c r="XA13" s="208"/>
      <c r="XB13" s="208"/>
      <c r="XC13" s="208"/>
      <c r="XD13" s="208"/>
      <c r="XE13" s="208"/>
      <c r="XF13" s="208"/>
      <c r="XG13" s="208"/>
      <c r="XH13" s="208"/>
      <c r="XI13" s="208"/>
      <c r="XJ13" s="208"/>
      <c r="XK13" s="208"/>
      <c r="XL13" s="208"/>
      <c r="XM13" s="208"/>
      <c r="XN13" s="208"/>
      <c r="XO13" s="208"/>
      <c r="XP13" s="208"/>
      <c r="XQ13" s="208"/>
      <c r="XR13" s="208"/>
      <c r="XS13" s="208"/>
      <c r="XT13" s="208"/>
      <c r="XU13" s="208"/>
      <c r="XV13" s="208"/>
      <c r="XW13" s="208"/>
      <c r="XX13" s="208"/>
      <c r="XY13" s="208"/>
      <c r="XZ13" s="208"/>
      <c r="YA13" s="208"/>
      <c r="YB13" s="208"/>
      <c r="YC13" s="208"/>
      <c r="YD13" s="208"/>
      <c r="YE13" s="208"/>
      <c r="YF13" s="208"/>
      <c r="YG13" s="208"/>
      <c r="YH13" s="208"/>
      <c r="YI13" s="208"/>
      <c r="YJ13" s="208"/>
      <c r="YK13" s="208"/>
      <c r="YL13" s="208"/>
      <c r="YM13" s="208"/>
      <c r="YN13" s="208"/>
      <c r="YO13" s="209"/>
      <c r="YP13" s="207" t="s">
        <v>26</v>
      </c>
      <c r="YQ13" s="208"/>
      <c r="YR13" s="208"/>
      <c r="YS13" s="208"/>
      <c r="YT13" s="208"/>
      <c r="YU13" s="208"/>
      <c r="YV13" s="208"/>
      <c r="YW13" s="208"/>
      <c r="YX13" s="208"/>
      <c r="YY13" s="208"/>
      <c r="YZ13" s="208"/>
      <c r="ZA13" s="208"/>
      <c r="ZB13" s="208"/>
      <c r="ZC13" s="208"/>
      <c r="ZD13" s="208"/>
      <c r="ZE13" s="208"/>
      <c r="ZF13" s="208"/>
      <c r="ZG13" s="208"/>
      <c r="ZH13" s="208"/>
      <c r="ZI13" s="208"/>
      <c r="ZJ13" s="208"/>
      <c r="ZK13" s="208"/>
      <c r="ZL13" s="208"/>
      <c r="ZM13" s="208"/>
      <c r="ZN13" s="208"/>
      <c r="ZO13" s="208"/>
      <c r="ZP13" s="208"/>
      <c r="ZQ13" s="208"/>
      <c r="ZR13" s="208"/>
      <c r="ZS13" s="208"/>
      <c r="ZT13" s="208"/>
      <c r="ZU13" s="208"/>
      <c r="ZV13" s="208"/>
      <c r="ZW13" s="208"/>
      <c r="ZX13" s="208"/>
      <c r="ZY13" s="208"/>
      <c r="ZZ13" s="208"/>
      <c r="AAA13" s="208"/>
      <c r="AAB13" s="208"/>
      <c r="AAC13" s="208"/>
      <c r="AAD13" s="208"/>
      <c r="AAE13" s="208"/>
      <c r="AAF13" s="208"/>
      <c r="AAG13" s="208"/>
      <c r="AAH13" s="208"/>
      <c r="AAI13" s="208"/>
      <c r="AAJ13" s="208"/>
      <c r="AAK13" s="208"/>
      <c r="AAL13" s="208"/>
      <c r="AAM13" s="208"/>
      <c r="AAN13" s="208"/>
      <c r="AAO13" s="208"/>
      <c r="AAP13" s="208"/>
      <c r="AAQ13" s="208"/>
      <c r="AAR13" s="208"/>
      <c r="AAS13" s="208"/>
      <c r="AAT13" s="208"/>
      <c r="AAU13" s="208"/>
      <c r="AAV13" s="208"/>
      <c r="AAW13" s="209"/>
      <c r="AAX13" s="207" t="s">
        <v>27</v>
      </c>
      <c r="AAY13" s="208"/>
      <c r="AAZ13" s="208"/>
      <c r="ABA13" s="208"/>
      <c r="ABB13" s="208"/>
      <c r="ABC13" s="208"/>
      <c r="ABD13" s="208"/>
      <c r="ABE13" s="208"/>
      <c r="ABF13" s="208"/>
      <c r="ABG13" s="208"/>
      <c r="ABH13" s="208"/>
      <c r="ABI13" s="208"/>
      <c r="ABJ13" s="208"/>
      <c r="ABK13" s="208"/>
      <c r="ABL13" s="208"/>
      <c r="ABM13" s="208"/>
      <c r="ABN13" s="208"/>
      <c r="ABO13" s="208"/>
      <c r="ABP13" s="208"/>
      <c r="ABQ13" s="208"/>
      <c r="ABR13" s="208"/>
      <c r="ABS13" s="208"/>
      <c r="ABT13" s="208"/>
      <c r="ABU13" s="208"/>
      <c r="ABV13" s="208"/>
      <c r="ABW13" s="208"/>
      <c r="ABX13" s="208"/>
      <c r="ABY13" s="208"/>
      <c r="ABZ13" s="208"/>
      <c r="ACA13" s="208"/>
      <c r="ACB13" s="208"/>
      <c r="ACC13" s="208"/>
      <c r="ACD13" s="208"/>
      <c r="ACE13" s="208"/>
      <c r="ACF13" s="208"/>
      <c r="ACG13" s="208"/>
      <c r="ACH13" s="208"/>
      <c r="ACI13" s="208"/>
      <c r="ACJ13" s="208"/>
      <c r="ACK13" s="208"/>
      <c r="ACL13" s="208"/>
      <c r="ACM13" s="208"/>
      <c r="ACN13" s="208"/>
      <c r="ACO13" s="208"/>
      <c r="ACP13" s="208"/>
      <c r="ACQ13" s="208"/>
      <c r="ACR13" s="208"/>
      <c r="ACS13" s="208"/>
      <c r="ACT13" s="208"/>
      <c r="ACU13" s="208"/>
      <c r="ACV13" s="208"/>
      <c r="ACW13" s="208"/>
      <c r="ACX13" s="208"/>
      <c r="ACY13" s="208"/>
      <c r="ACZ13" s="208"/>
      <c r="ADA13" s="208"/>
      <c r="ADB13" s="208"/>
      <c r="ADC13" s="208"/>
      <c r="ADD13" s="208"/>
      <c r="ADE13" s="209"/>
      <c r="ADF13" s="207" t="s">
        <v>28</v>
      </c>
      <c r="ADG13" s="208"/>
      <c r="ADH13" s="208"/>
      <c r="ADI13" s="208"/>
      <c r="ADJ13" s="208"/>
      <c r="ADK13" s="208"/>
      <c r="ADL13" s="208"/>
      <c r="ADM13" s="208"/>
      <c r="ADN13" s="208"/>
      <c r="ADO13" s="208"/>
      <c r="ADP13" s="208"/>
      <c r="ADQ13" s="208"/>
      <c r="ADR13" s="208"/>
      <c r="ADS13" s="208"/>
      <c r="ADT13" s="208"/>
      <c r="ADU13" s="208"/>
      <c r="ADV13" s="208"/>
      <c r="ADW13" s="208"/>
      <c r="ADX13" s="208"/>
      <c r="ADY13" s="208"/>
      <c r="ADZ13" s="208"/>
      <c r="AEA13" s="208"/>
      <c r="AEB13" s="208"/>
      <c r="AEC13" s="208"/>
      <c r="AED13" s="208"/>
      <c r="AEE13" s="208"/>
      <c r="AEF13" s="208"/>
      <c r="AEG13" s="208"/>
      <c r="AEH13" s="208"/>
      <c r="AEI13" s="208"/>
      <c r="AEJ13" s="208"/>
      <c r="AEK13" s="208"/>
      <c r="AEL13" s="208"/>
      <c r="AEM13" s="208"/>
      <c r="AEN13" s="208"/>
      <c r="AEO13" s="208"/>
      <c r="AEP13" s="208"/>
      <c r="AEQ13" s="208"/>
      <c r="AER13" s="208"/>
      <c r="AES13" s="208"/>
      <c r="AET13" s="208"/>
      <c r="AEU13" s="208"/>
      <c r="AEV13" s="208"/>
      <c r="AEW13" s="208"/>
      <c r="AEX13" s="208"/>
      <c r="AEY13" s="208"/>
      <c r="AEZ13" s="208"/>
      <c r="AFA13" s="208"/>
      <c r="AFB13" s="208"/>
      <c r="AFC13" s="208"/>
      <c r="AFD13" s="208"/>
      <c r="AFE13" s="208"/>
      <c r="AFF13" s="208"/>
      <c r="AFG13" s="208"/>
      <c r="AFH13" s="208"/>
      <c r="AFI13" s="208"/>
      <c r="AFJ13" s="208"/>
      <c r="AFK13" s="208"/>
      <c r="AFL13" s="208"/>
      <c r="AFM13" s="209"/>
      <c r="AFN13" s="207" t="s">
        <v>29</v>
      </c>
      <c r="AFO13" s="208"/>
      <c r="AFP13" s="208"/>
      <c r="AFQ13" s="208"/>
      <c r="AFR13" s="208"/>
      <c r="AFS13" s="208"/>
      <c r="AFT13" s="208"/>
      <c r="AFU13" s="208"/>
      <c r="AFV13" s="208"/>
      <c r="AFW13" s="208"/>
      <c r="AFX13" s="208"/>
      <c r="AFY13" s="208"/>
      <c r="AFZ13" s="208"/>
      <c r="AGA13" s="208"/>
      <c r="AGB13" s="208"/>
      <c r="AGC13" s="208"/>
      <c r="AGD13" s="208"/>
      <c r="AGE13" s="208"/>
      <c r="AGF13" s="208"/>
      <c r="AGG13" s="208"/>
      <c r="AGH13" s="208"/>
      <c r="AGI13" s="208"/>
      <c r="AGJ13" s="208"/>
      <c r="AGK13" s="208"/>
      <c r="AGL13" s="208"/>
      <c r="AGM13" s="208"/>
      <c r="AGN13" s="208"/>
      <c r="AGO13" s="208"/>
      <c r="AGP13" s="208"/>
      <c r="AGQ13" s="208"/>
      <c r="AGR13" s="208"/>
      <c r="AGS13" s="208"/>
      <c r="AGT13" s="208"/>
      <c r="AGU13" s="208"/>
      <c r="AGV13" s="208"/>
      <c r="AGW13" s="208"/>
      <c r="AGX13" s="208"/>
      <c r="AGY13" s="208"/>
      <c r="AGZ13" s="208"/>
      <c r="AHA13" s="208"/>
      <c r="AHB13" s="208"/>
      <c r="AHC13" s="208"/>
      <c r="AHD13" s="208"/>
      <c r="AHE13" s="208"/>
      <c r="AHF13" s="208"/>
      <c r="AHG13" s="208"/>
      <c r="AHH13" s="208"/>
      <c r="AHI13" s="208"/>
      <c r="AHJ13" s="208"/>
      <c r="AHK13" s="208"/>
      <c r="AHL13" s="208"/>
      <c r="AHM13" s="208"/>
      <c r="AHN13" s="208"/>
      <c r="AHO13" s="208"/>
      <c r="AHP13" s="208"/>
      <c r="AHQ13" s="208"/>
      <c r="AHR13" s="208"/>
      <c r="AHS13" s="208"/>
      <c r="AHT13" s="208"/>
      <c r="AHU13" s="209"/>
      <c r="AHV13" s="207" t="s">
        <v>30</v>
      </c>
      <c r="AHW13" s="208"/>
      <c r="AHX13" s="208"/>
      <c r="AHY13" s="208"/>
      <c r="AHZ13" s="208"/>
      <c r="AIA13" s="208"/>
      <c r="AIB13" s="208"/>
      <c r="AIC13" s="208"/>
      <c r="AID13" s="208"/>
      <c r="AIE13" s="208"/>
      <c r="AIF13" s="208"/>
      <c r="AIG13" s="208"/>
      <c r="AIH13" s="208"/>
      <c r="AII13" s="208"/>
      <c r="AIJ13" s="208"/>
      <c r="AIK13" s="208"/>
      <c r="AIL13" s="208"/>
      <c r="AIM13" s="208"/>
      <c r="AIN13" s="208"/>
      <c r="AIO13" s="208"/>
      <c r="AIP13" s="208"/>
      <c r="AIQ13" s="208"/>
      <c r="AIR13" s="208"/>
      <c r="AIS13" s="208"/>
      <c r="AIT13" s="208"/>
      <c r="AIU13" s="208"/>
      <c r="AIV13" s="208"/>
      <c r="AIW13" s="208"/>
      <c r="AIX13" s="208"/>
      <c r="AIY13" s="208"/>
      <c r="AIZ13" s="208"/>
      <c r="AJA13" s="208"/>
      <c r="AJB13" s="208"/>
      <c r="AJC13" s="208"/>
      <c r="AJD13" s="208"/>
      <c r="AJE13" s="208"/>
      <c r="AJF13" s="208"/>
      <c r="AJG13" s="208"/>
      <c r="AJH13" s="208"/>
      <c r="AJI13" s="208"/>
      <c r="AJJ13" s="208"/>
      <c r="AJK13" s="208"/>
      <c r="AJL13" s="208"/>
      <c r="AJM13" s="208"/>
      <c r="AJN13" s="208"/>
      <c r="AJO13" s="208"/>
      <c r="AJP13" s="208"/>
      <c r="AJQ13" s="208"/>
      <c r="AJR13" s="208"/>
      <c r="AJS13" s="208"/>
      <c r="AJT13" s="208"/>
      <c r="AJU13" s="208"/>
      <c r="AJV13" s="208"/>
      <c r="AJW13" s="208"/>
      <c r="AJX13" s="208"/>
      <c r="AJY13" s="208"/>
      <c r="AJZ13" s="208"/>
      <c r="AKA13" s="208"/>
      <c r="AKB13" s="208"/>
      <c r="AKC13" s="209"/>
      <c r="AKD13" s="207" t="s">
        <v>31</v>
      </c>
      <c r="AKE13" s="208"/>
      <c r="AKF13" s="208"/>
      <c r="AKG13" s="208"/>
      <c r="AKH13" s="208"/>
      <c r="AKI13" s="208"/>
      <c r="AKJ13" s="208"/>
      <c r="AKK13" s="208"/>
      <c r="AKL13" s="208"/>
      <c r="AKM13" s="208"/>
      <c r="AKN13" s="208"/>
      <c r="AKO13" s="208"/>
      <c r="AKP13" s="208"/>
      <c r="AKQ13" s="208"/>
      <c r="AKR13" s="208"/>
      <c r="AKS13" s="208"/>
      <c r="AKT13" s="208"/>
      <c r="AKU13" s="208"/>
      <c r="AKV13" s="208"/>
      <c r="AKW13" s="208"/>
      <c r="AKX13" s="208"/>
      <c r="AKY13" s="208"/>
      <c r="AKZ13" s="208"/>
      <c r="ALA13" s="208"/>
      <c r="ALB13" s="208"/>
      <c r="ALC13" s="208"/>
      <c r="ALD13" s="208"/>
      <c r="ALE13" s="208"/>
      <c r="ALF13" s="208"/>
      <c r="ALG13" s="208"/>
      <c r="ALH13" s="208"/>
      <c r="ALI13" s="208"/>
      <c r="ALJ13" s="208"/>
      <c r="ALK13" s="208"/>
      <c r="ALL13" s="208"/>
      <c r="ALM13" s="208"/>
      <c r="ALN13" s="208"/>
      <c r="ALO13" s="208"/>
      <c r="ALP13" s="208"/>
      <c r="ALQ13" s="208"/>
      <c r="ALR13" s="208"/>
      <c r="ALS13" s="208"/>
      <c r="ALT13" s="208"/>
      <c r="ALU13" s="208"/>
      <c r="ALV13" s="208"/>
      <c r="ALW13" s="208"/>
      <c r="ALX13" s="208"/>
      <c r="ALY13" s="208"/>
      <c r="ALZ13" s="208"/>
      <c r="AMA13" s="208"/>
      <c r="AMB13" s="208"/>
      <c r="AMC13" s="208"/>
      <c r="AMD13" s="208"/>
      <c r="AME13" s="208"/>
      <c r="AMF13" s="208"/>
      <c r="AMG13" s="208"/>
      <c r="AMH13" s="208"/>
      <c r="AMI13" s="208"/>
      <c r="AMJ13" s="208"/>
      <c r="AMK13" s="209"/>
      <c r="AML13" s="207" t="s">
        <v>32</v>
      </c>
      <c r="AMM13" s="208"/>
      <c r="AMN13" s="208"/>
      <c r="AMO13" s="208"/>
      <c r="AMP13" s="208"/>
      <c r="AMQ13" s="208"/>
      <c r="AMR13" s="208"/>
      <c r="AMS13" s="208"/>
      <c r="AMT13" s="208"/>
      <c r="AMU13" s="208"/>
      <c r="AMV13" s="208"/>
      <c r="AMW13" s="208"/>
      <c r="AMX13" s="208"/>
      <c r="AMY13" s="208"/>
      <c r="AMZ13" s="208"/>
      <c r="ANA13" s="208"/>
      <c r="ANB13" s="208"/>
      <c r="ANC13" s="208"/>
      <c r="AND13" s="208"/>
      <c r="ANE13" s="208"/>
      <c r="ANF13" s="208"/>
      <c r="ANG13" s="208"/>
      <c r="ANH13" s="208"/>
      <c r="ANI13" s="208"/>
      <c r="ANJ13" s="208"/>
      <c r="ANK13" s="208"/>
      <c r="ANL13" s="208"/>
      <c r="ANM13" s="208"/>
      <c r="ANN13" s="208"/>
      <c r="ANO13" s="208"/>
      <c r="ANP13" s="208"/>
      <c r="ANQ13" s="208"/>
      <c r="ANR13" s="208"/>
      <c r="ANS13" s="208"/>
      <c r="ANT13" s="208"/>
      <c r="ANU13" s="208"/>
      <c r="ANV13" s="208"/>
      <c r="ANW13" s="208"/>
      <c r="ANX13" s="208"/>
      <c r="ANY13" s="208"/>
      <c r="ANZ13" s="208"/>
      <c r="AOA13" s="208"/>
      <c r="AOB13" s="208"/>
      <c r="AOC13" s="208"/>
      <c r="AOD13" s="208"/>
      <c r="AOE13" s="208"/>
      <c r="AOF13" s="208"/>
      <c r="AOG13" s="208"/>
      <c r="AOH13" s="208"/>
      <c r="AOI13" s="208"/>
      <c r="AOJ13" s="208"/>
      <c r="AOK13" s="208"/>
      <c r="AOL13" s="208"/>
      <c r="AOM13" s="208"/>
      <c r="AON13" s="208"/>
      <c r="AOO13" s="208"/>
      <c r="AOP13" s="208"/>
      <c r="AOQ13" s="208"/>
      <c r="AOR13" s="208"/>
      <c r="AOS13" s="209"/>
      <c r="AOT13" s="207" t="s">
        <v>33</v>
      </c>
      <c r="AOU13" s="208"/>
      <c r="AOV13" s="208"/>
      <c r="AOW13" s="208"/>
      <c r="AOX13" s="208"/>
      <c r="AOY13" s="208"/>
      <c r="AOZ13" s="208"/>
      <c r="APA13" s="208"/>
      <c r="APB13" s="208"/>
      <c r="APC13" s="208"/>
      <c r="APD13" s="208"/>
      <c r="APE13" s="208"/>
      <c r="APF13" s="208"/>
      <c r="APG13" s="208"/>
      <c r="APH13" s="208"/>
      <c r="API13" s="208"/>
      <c r="APJ13" s="208"/>
      <c r="APK13" s="208"/>
      <c r="APL13" s="208"/>
      <c r="APM13" s="208"/>
      <c r="APN13" s="208"/>
      <c r="APO13" s="208"/>
      <c r="APP13" s="208"/>
      <c r="APQ13" s="208"/>
      <c r="APR13" s="208"/>
      <c r="APS13" s="208"/>
      <c r="APT13" s="208"/>
      <c r="APU13" s="208"/>
      <c r="APV13" s="208"/>
      <c r="APW13" s="208"/>
      <c r="APX13" s="208"/>
      <c r="APY13" s="208"/>
      <c r="APZ13" s="208"/>
      <c r="AQA13" s="208"/>
      <c r="AQB13" s="208"/>
      <c r="AQC13" s="208"/>
      <c r="AQD13" s="208"/>
      <c r="AQE13" s="208"/>
      <c r="AQF13" s="208"/>
      <c r="AQG13" s="208"/>
      <c r="AQH13" s="208"/>
      <c r="AQI13" s="208"/>
      <c r="AQJ13" s="208"/>
      <c r="AQK13" s="208"/>
      <c r="AQL13" s="208"/>
      <c r="AQM13" s="208"/>
      <c r="AQN13" s="208"/>
      <c r="AQO13" s="208"/>
      <c r="AQP13" s="208"/>
      <c r="AQQ13" s="208"/>
      <c r="AQR13" s="208"/>
      <c r="AQS13" s="208"/>
      <c r="AQT13" s="208"/>
      <c r="AQU13" s="208"/>
      <c r="AQV13" s="208"/>
      <c r="AQW13" s="208"/>
      <c r="AQX13" s="208"/>
      <c r="AQY13" s="208"/>
      <c r="AQZ13" s="208"/>
      <c r="ARA13" s="209"/>
      <c r="ARB13" s="207" t="s">
        <v>34</v>
      </c>
      <c r="ARC13" s="208"/>
      <c r="ARD13" s="208"/>
      <c r="ARE13" s="208"/>
      <c r="ARF13" s="208"/>
      <c r="ARG13" s="208"/>
      <c r="ARH13" s="208"/>
      <c r="ARI13" s="208"/>
      <c r="ARJ13" s="208"/>
      <c r="ARK13" s="208"/>
      <c r="ARL13" s="208"/>
      <c r="ARM13" s="208"/>
      <c r="ARN13" s="208"/>
      <c r="ARO13" s="208"/>
      <c r="ARP13" s="208"/>
      <c r="ARQ13" s="208"/>
      <c r="ARR13" s="208"/>
      <c r="ARS13" s="208"/>
      <c r="ART13" s="208"/>
      <c r="ARU13" s="208"/>
      <c r="ARV13" s="208"/>
      <c r="ARW13" s="208"/>
      <c r="ARX13" s="208"/>
      <c r="ARY13" s="208"/>
      <c r="ARZ13" s="208"/>
      <c r="ASA13" s="208"/>
      <c r="ASB13" s="208"/>
      <c r="ASC13" s="208"/>
      <c r="ASD13" s="208"/>
      <c r="ASE13" s="208"/>
      <c r="ASF13" s="208"/>
      <c r="ASG13" s="208"/>
      <c r="ASH13" s="208"/>
      <c r="ASI13" s="208"/>
      <c r="ASJ13" s="208"/>
      <c r="ASK13" s="208"/>
      <c r="ASL13" s="208"/>
      <c r="ASM13" s="208"/>
      <c r="ASN13" s="208"/>
      <c r="ASO13" s="208"/>
      <c r="ASP13" s="208"/>
      <c r="ASQ13" s="208"/>
      <c r="ASR13" s="208"/>
      <c r="ASS13" s="208"/>
      <c r="AST13" s="208"/>
      <c r="ASU13" s="208"/>
      <c r="ASV13" s="208"/>
      <c r="ASW13" s="208"/>
      <c r="ASX13" s="208"/>
      <c r="ASY13" s="208"/>
      <c r="ASZ13" s="208"/>
      <c r="ATA13" s="208"/>
      <c r="ATB13" s="208"/>
      <c r="ATC13" s="208"/>
      <c r="ATD13" s="208"/>
      <c r="ATE13" s="208"/>
      <c r="ATF13" s="208"/>
      <c r="ATG13" s="208"/>
      <c r="ATH13" s="208"/>
      <c r="ATI13" s="209"/>
      <c r="ATJ13" s="207" t="s">
        <v>35</v>
      </c>
      <c r="ATK13" s="208"/>
      <c r="ATL13" s="208"/>
      <c r="ATM13" s="208"/>
      <c r="ATN13" s="208"/>
      <c r="ATO13" s="208"/>
      <c r="ATP13" s="208"/>
      <c r="ATQ13" s="208"/>
      <c r="ATR13" s="208"/>
      <c r="ATS13" s="208"/>
      <c r="ATT13" s="208"/>
      <c r="ATU13" s="208"/>
      <c r="ATV13" s="208"/>
      <c r="ATW13" s="208"/>
      <c r="ATX13" s="208"/>
      <c r="ATY13" s="208"/>
      <c r="ATZ13" s="208"/>
      <c r="AUA13" s="208"/>
      <c r="AUB13" s="208"/>
      <c r="AUC13" s="208"/>
      <c r="AUD13" s="208"/>
      <c r="AUE13" s="208"/>
      <c r="AUF13" s="208"/>
      <c r="AUG13" s="208"/>
      <c r="AUH13" s="208"/>
      <c r="AUI13" s="208"/>
      <c r="AUJ13" s="208"/>
      <c r="AUK13" s="208"/>
      <c r="AUL13" s="208"/>
      <c r="AUM13" s="208"/>
      <c r="AUN13" s="208"/>
      <c r="AUO13" s="208"/>
      <c r="AUP13" s="208"/>
      <c r="AUQ13" s="208"/>
      <c r="AUR13" s="208"/>
      <c r="AUS13" s="208"/>
      <c r="AUT13" s="208"/>
      <c r="AUU13" s="208"/>
      <c r="AUV13" s="208"/>
      <c r="AUW13" s="208"/>
      <c r="AUX13" s="208"/>
      <c r="AUY13" s="208"/>
      <c r="AUZ13" s="208"/>
      <c r="AVA13" s="208"/>
      <c r="AVB13" s="208"/>
      <c r="AVC13" s="208"/>
      <c r="AVD13" s="208"/>
      <c r="AVE13" s="208"/>
      <c r="AVF13" s="208"/>
      <c r="AVG13" s="208"/>
      <c r="AVH13" s="208"/>
      <c r="AVI13" s="208"/>
      <c r="AVJ13" s="208"/>
      <c r="AVK13" s="208"/>
      <c r="AVL13" s="208"/>
      <c r="AVM13" s="208"/>
      <c r="AVN13" s="208"/>
      <c r="AVO13" s="208"/>
      <c r="AVP13" s="208"/>
      <c r="AVQ13" s="209"/>
      <c r="AVR13" s="207" t="s">
        <v>36</v>
      </c>
      <c r="AVS13" s="208"/>
      <c r="AVT13" s="208"/>
      <c r="AVU13" s="208"/>
      <c r="AVV13" s="208"/>
      <c r="AVW13" s="208"/>
      <c r="AVX13" s="208"/>
      <c r="AVY13" s="208"/>
      <c r="AVZ13" s="208"/>
      <c r="AWA13" s="208"/>
      <c r="AWB13" s="208"/>
      <c r="AWC13" s="208"/>
      <c r="AWD13" s="208"/>
      <c r="AWE13" s="208"/>
      <c r="AWF13" s="208"/>
      <c r="AWG13" s="208"/>
      <c r="AWH13" s="208"/>
      <c r="AWI13" s="208"/>
      <c r="AWJ13" s="208"/>
      <c r="AWK13" s="208"/>
      <c r="AWL13" s="208"/>
      <c r="AWM13" s="208"/>
      <c r="AWN13" s="208"/>
      <c r="AWO13" s="208"/>
      <c r="AWP13" s="208"/>
      <c r="AWQ13" s="208"/>
      <c r="AWR13" s="208"/>
      <c r="AWS13" s="208"/>
      <c r="AWT13" s="208"/>
      <c r="AWU13" s="208"/>
      <c r="AWV13" s="208"/>
      <c r="AWW13" s="208"/>
      <c r="AWX13" s="208"/>
      <c r="AWY13" s="208"/>
      <c r="AWZ13" s="208"/>
      <c r="AXA13" s="208"/>
      <c r="AXB13" s="208"/>
      <c r="AXC13" s="208"/>
      <c r="AXD13" s="208"/>
      <c r="AXE13" s="208"/>
      <c r="AXF13" s="208"/>
      <c r="AXG13" s="208"/>
      <c r="AXH13" s="208"/>
      <c r="AXI13" s="208"/>
      <c r="AXJ13" s="208"/>
      <c r="AXK13" s="208"/>
      <c r="AXL13" s="208"/>
      <c r="AXM13" s="208"/>
      <c r="AXN13" s="208"/>
      <c r="AXO13" s="208"/>
      <c r="AXP13" s="208"/>
      <c r="AXQ13" s="208"/>
      <c r="AXR13" s="208"/>
      <c r="AXS13" s="208"/>
      <c r="AXT13" s="208"/>
      <c r="AXU13" s="208"/>
      <c r="AXV13" s="208"/>
      <c r="AXW13" s="208"/>
      <c r="AXX13" s="208"/>
      <c r="AXY13" s="209"/>
      <c r="AXZ13" s="207" t="s">
        <v>37</v>
      </c>
      <c r="AYA13" s="208"/>
      <c r="AYB13" s="208"/>
      <c r="AYC13" s="208"/>
      <c r="AYD13" s="208"/>
      <c r="AYE13" s="208"/>
      <c r="AYF13" s="208"/>
      <c r="AYG13" s="208"/>
      <c r="AYH13" s="208"/>
      <c r="AYI13" s="208"/>
      <c r="AYJ13" s="208"/>
      <c r="AYK13" s="208"/>
      <c r="AYL13" s="208"/>
      <c r="AYM13" s="208"/>
      <c r="AYN13" s="208"/>
      <c r="AYO13" s="208"/>
      <c r="AYP13" s="208"/>
      <c r="AYQ13" s="208"/>
      <c r="AYR13" s="208"/>
      <c r="AYS13" s="208"/>
      <c r="AYT13" s="208"/>
      <c r="AYU13" s="208"/>
      <c r="AYV13" s="208"/>
      <c r="AYW13" s="208"/>
      <c r="AYX13" s="208"/>
      <c r="AYY13" s="208"/>
      <c r="AYZ13" s="208"/>
      <c r="AZA13" s="208"/>
      <c r="AZB13" s="208"/>
      <c r="AZC13" s="208"/>
      <c r="AZD13" s="208"/>
      <c r="AZE13" s="208"/>
      <c r="AZF13" s="208"/>
      <c r="AZG13" s="208"/>
      <c r="AZH13" s="208"/>
      <c r="AZI13" s="208"/>
      <c r="AZJ13" s="208"/>
      <c r="AZK13" s="208"/>
      <c r="AZL13" s="208"/>
      <c r="AZM13" s="208"/>
      <c r="AZN13" s="208"/>
      <c r="AZO13" s="208"/>
      <c r="AZP13" s="208"/>
      <c r="AZQ13" s="208"/>
      <c r="AZR13" s="208"/>
      <c r="AZS13" s="208"/>
      <c r="AZT13" s="208"/>
      <c r="AZU13" s="208"/>
      <c r="AZV13" s="208"/>
      <c r="AZW13" s="208"/>
      <c r="AZX13" s="208"/>
      <c r="AZY13" s="208"/>
      <c r="AZZ13" s="208"/>
      <c r="BAA13" s="208"/>
      <c r="BAB13" s="208"/>
      <c r="BAC13" s="208"/>
      <c r="BAD13" s="208"/>
      <c r="BAE13" s="208"/>
      <c r="BAF13" s="208"/>
      <c r="BAG13" s="209"/>
      <c r="BAH13" s="207" t="s">
        <v>38</v>
      </c>
      <c r="BAI13" s="208"/>
      <c r="BAJ13" s="208"/>
      <c r="BAK13" s="208"/>
      <c r="BAL13" s="208"/>
      <c r="BAM13" s="208"/>
      <c r="BAN13" s="208"/>
      <c r="BAO13" s="208"/>
      <c r="BAP13" s="208"/>
      <c r="BAQ13" s="208"/>
      <c r="BAR13" s="208"/>
      <c r="BAS13" s="208"/>
      <c r="BAT13" s="208"/>
      <c r="BAU13" s="208"/>
      <c r="BAV13" s="208"/>
      <c r="BAW13" s="208"/>
      <c r="BAX13" s="208"/>
      <c r="BAY13" s="208"/>
      <c r="BAZ13" s="208"/>
      <c r="BBA13" s="208"/>
      <c r="BBB13" s="208"/>
      <c r="BBC13" s="208"/>
      <c r="BBD13" s="208"/>
      <c r="BBE13" s="208"/>
      <c r="BBF13" s="208"/>
      <c r="BBG13" s="208"/>
      <c r="BBH13" s="208"/>
      <c r="BBI13" s="208"/>
      <c r="BBJ13" s="208"/>
      <c r="BBK13" s="208"/>
      <c r="BBL13" s="208"/>
      <c r="BBM13" s="208"/>
      <c r="BBN13" s="208"/>
      <c r="BBO13" s="208"/>
      <c r="BBP13" s="208"/>
      <c r="BBQ13" s="208"/>
      <c r="BBR13" s="208"/>
      <c r="BBS13" s="208"/>
      <c r="BBT13" s="208"/>
      <c r="BBU13" s="208"/>
      <c r="BBV13" s="208"/>
      <c r="BBW13" s="208"/>
      <c r="BBX13" s="208"/>
      <c r="BBY13" s="208"/>
      <c r="BBZ13" s="208"/>
      <c r="BCA13" s="208"/>
      <c r="BCB13" s="208"/>
      <c r="BCC13" s="208"/>
      <c r="BCD13" s="208"/>
      <c r="BCE13" s="208"/>
      <c r="BCF13" s="208"/>
      <c r="BCG13" s="208"/>
      <c r="BCH13" s="208"/>
      <c r="BCI13" s="208"/>
      <c r="BCJ13" s="208"/>
      <c r="BCK13" s="208"/>
      <c r="BCL13" s="208"/>
      <c r="BCM13" s="208"/>
      <c r="BCN13" s="208"/>
      <c r="BCO13" s="209"/>
      <c r="BCP13" s="207" t="s">
        <v>39</v>
      </c>
      <c r="BCQ13" s="208"/>
      <c r="BCR13" s="208"/>
      <c r="BCS13" s="208"/>
      <c r="BCT13" s="208"/>
      <c r="BCU13" s="208"/>
      <c r="BCV13" s="208"/>
      <c r="BCW13" s="208"/>
      <c r="BCX13" s="208"/>
      <c r="BCY13" s="208"/>
      <c r="BCZ13" s="208"/>
      <c r="BDA13" s="208"/>
      <c r="BDB13" s="208"/>
      <c r="BDC13" s="208"/>
      <c r="BDD13" s="208"/>
      <c r="BDE13" s="208"/>
      <c r="BDF13" s="208"/>
      <c r="BDG13" s="208"/>
      <c r="BDH13" s="208"/>
      <c r="BDI13" s="208"/>
      <c r="BDJ13" s="208"/>
      <c r="BDK13" s="208"/>
      <c r="BDL13" s="208"/>
      <c r="BDM13" s="208"/>
      <c r="BDN13" s="208"/>
      <c r="BDO13" s="208"/>
      <c r="BDP13" s="208"/>
      <c r="BDQ13" s="208"/>
      <c r="BDR13" s="208"/>
      <c r="BDS13" s="208"/>
      <c r="BDT13" s="208"/>
      <c r="BDU13" s="208"/>
      <c r="BDV13" s="208"/>
      <c r="BDW13" s="208"/>
      <c r="BDX13" s="208"/>
      <c r="BDY13" s="208"/>
      <c r="BDZ13" s="208"/>
      <c r="BEA13" s="208"/>
      <c r="BEB13" s="208"/>
      <c r="BEC13" s="208"/>
      <c r="BED13" s="208"/>
      <c r="BEE13" s="208"/>
      <c r="BEF13" s="208"/>
      <c r="BEG13" s="208"/>
      <c r="BEH13" s="208"/>
      <c r="BEI13" s="208"/>
      <c r="BEJ13" s="208"/>
      <c r="BEK13" s="208"/>
      <c r="BEL13" s="208"/>
      <c r="BEM13" s="208"/>
      <c r="BEN13" s="208"/>
      <c r="BEO13" s="208"/>
      <c r="BEP13" s="208"/>
      <c r="BEQ13" s="208"/>
      <c r="BER13" s="208"/>
      <c r="BES13" s="208"/>
      <c r="BET13" s="208"/>
      <c r="BEU13" s="208"/>
      <c r="BEV13" s="208"/>
      <c r="BEW13" s="209"/>
      <c r="BEX13" s="207" t="s">
        <v>40</v>
      </c>
      <c r="BEY13" s="208"/>
      <c r="BEZ13" s="208"/>
      <c r="BFA13" s="208"/>
      <c r="BFB13" s="208"/>
      <c r="BFC13" s="208"/>
      <c r="BFD13" s="208"/>
      <c r="BFE13" s="208"/>
      <c r="BFF13" s="208"/>
      <c r="BFG13" s="208"/>
      <c r="BFH13" s="208"/>
      <c r="BFI13" s="208"/>
      <c r="BFJ13" s="208"/>
      <c r="BFK13" s="208"/>
      <c r="BFL13" s="208"/>
      <c r="BFM13" s="208"/>
      <c r="BFN13" s="208"/>
      <c r="BFO13" s="208"/>
      <c r="BFP13" s="208"/>
      <c r="BFQ13" s="208"/>
      <c r="BFR13" s="208"/>
      <c r="BFS13" s="208"/>
      <c r="BFT13" s="208"/>
      <c r="BFU13" s="208"/>
      <c r="BFV13" s="208"/>
      <c r="BFW13" s="208"/>
      <c r="BFX13" s="208"/>
      <c r="BFY13" s="208"/>
      <c r="BFZ13" s="208"/>
      <c r="BGA13" s="208"/>
      <c r="BGB13" s="208"/>
      <c r="BGC13" s="208"/>
      <c r="BGD13" s="208"/>
      <c r="BGE13" s="208"/>
      <c r="BGF13" s="208"/>
      <c r="BGG13" s="208"/>
      <c r="BGH13" s="208"/>
      <c r="BGI13" s="208"/>
      <c r="BGJ13" s="208"/>
      <c r="BGK13" s="208"/>
      <c r="BGL13" s="208"/>
      <c r="BGM13" s="208"/>
      <c r="BGN13" s="208"/>
      <c r="BGO13" s="208"/>
      <c r="BGP13" s="208"/>
      <c r="BGQ13" s="208"/>
      <c r="BGR13" s="208"/>
      <c r="BGS13" s="208"/>
      <c r="BGT13" s="208"/>
      <c r="BGU13" s="208"/>
      <c r="BGV13" s="208"/>
      <c r="BGW13" s="208"/>
      <c r="BGX13" s="208"/>
      <c r="BGY13" s="208"/>
      <c r="BGZ13" s="208"/>
      <c r="BHA13" s="208"/>
      <c r="BHB13" s="208"/>
      <c r="BHC13" s="208"/>
      <c r="BHD13" s="208"/>
      <c r="BHE13" s="209"/>
      <c r="BHF13" s="207" t="s">
        <v>165</v>
      </c>
      <c r="BHG13" s="208"/>
      <c r="BHH13" s="208"/>
      <c r="BHI13" s="208"/>
      <c r="BHJ13" s="208"/>
      <c r="BHK13" s="208"/>
      <c r="BHL13" s="208"/>
      <c r="BHM13" s="208"/>
      <c r="BHN13" s="208"/>
      <c r="BHO13" s="208"/>
      <c r="BHP13" s="208"/>
      <c r="BHQ13" s="208"/>
      <c r="BHR13" s="208"/>
      <c r="BHS13" s="208"/>
      <c r="BHT13" s="208"/>
      <c r="BHU13" s="208"/>
      <c r="BHV13" s="208"/>
      <c r="BHW13" s="208"/>
      <c r="BHX13" s="208"/>
      <c r="BHY13" s="208"/>
      <c r="BHZ13" s="208"/>
      <c r="BIA13" s="208"/>
      <c r="BIB13" s="208"/>
      <c r="BIC13" s="208"/>
      <c r="BID13" s="208"/>
      <c r="BIE13" s="208"/>
      <c r="BIF13" s="208"/>
      <c r="BIG13" s="208"/>
      <c r="BIH13" s="208"/>
      <c r="BII13" s="208"/>
      <c r="BIJ13" s="208"/>
      <c r="BIK13" s="208"/>
      <c r="BIL13" s="208"/>
      <c r="BIM13" s="208"/>
      <c r="BIN13" s="208"/>
      <c r="BIO13" s="208"/>
      <c r="BIP13" s="208"/>
      <c r="BIQ13" s="208"/>
      <c r="BIR13" s="208"/>
      <c r="BIS13" s="208"/>
      <c r="BIT13" s="208"/>
      <c r="BIU13" s="208"/>
      <c r="BIV13" s="208"/>
      <c r="BIW13" s="208"/>
      <c r="BIX13" s="208"/>
      <c r="BIY13" s="208"/>
      <c r="BIZ13" s="208"/>
      <c r="BJA13" s="208"/>
      <c r="BJB13" s="208"/>
      <c r="BJC13" s="208"/>
      <c r="BJD13" s="208"/>
      <c r="BJE13" s="208"/>
      <c r="BJF13" s="208"/>
      <c r="BJG13" s="208"/>
      <c r="BJH13" s="208"/>
      <c r="BJI13" s="208"/>
      <c r="BJJ13" s="208"/>
      <c r="BJK13" s="208"/>
      <c r="BJL13" s="208"/>
      <c r="BJM13" s="209"/>
      <c r="BJN13" s="73"/>
    </row>
    <row r="14" spans="1:1626" ht="12.75" customHeight="1" thickBot="1" x14ac:dyDescent="0.35">
      <c r="B14" s="51"/>
      <c r="C14" s="218"/>
      <c r="D14" s="118"/>
      <c r="E14" s="216"/>
      <c r="F14" s="81"/>
      <c r="G14" s="82"/>
      <c r="H14" s="82"/>
      <c r="I14" s="82"/>
      <c r="J14" s="198" t="s">
        <v>41</v>
      </c>
      <c r="K14" s="198"/>
      <c r="L14" s="198"/>
      <c r="M14" s="198"/>
      <c r="N14" s="82"/>
      <c r="O14" s="82"/>
      <c r="P14" s="199" t="s">
        <v>42</v>
      </c>
      <c r="Q14" s="199"/>
      <c r="R14" s="199"/>
      <c r="S14" s="199"/>
      <c r="T14" s="102"/>
      <c r="U14" s="102"/>
      <c r="V14" s="198" t="s">
        <v>43</v>
      </c>
      <c r="W14" s="198"/>
      <c r="X14" s="198"/>
      <c r="Y14" s="198"/>
      <c r="Z14" s="82"/>
      <c r="AA14" s="82"/>
      <c r="AB14" s="199" t="s">
        <v>44</v>
      </c>
      <c r="AC14" s="199"/>
      <c r="AD14" s="199"/>
      <c r="AE14" s="199"/>
      <c r="AF14" s="102"/>
      <c r="AG14" s="102"/>
      <c r="AH14" s="198" t="s">
        <v>45</v>
      </c>
      <c r="AI14" s="198"/>
      <c r="AJ14" s="198"/>
      <c r="AK14" s="198"/>
      <c r="AL14" s="82"/>
      <c r="AM14" s="82"/>
      <c r="AN14" s="199" t="s">
        <v>46</v>
      </c>
      <c r="AO14" s="199"/>
      <c r="AP14" s="199"/>
      <c r="AQ14" s="199"/>
      <c r="AR14" s="102"/>
      <c r="AS14" s="102"/>
      <c r="AT14" s="198" t="s">
        <v>47</v>
      </c>
      <c r="AU14" s="198"/>
      <c r="AV14" s="198"/>
      <c r="AW14" s="198"/>
      <c r="AX14" s="82"/>
      <c r="AY14" s="82"/>
      <c r="AZ14" s="199" t="s">
        <v>48</v>
      </c>
      <c r="BA14" s="199"/>
      <c r="BB14" s="199"/>
      <c r="BC14" s="199"/>
      <c r="BD14" s="102"/>
      <c r="BE14" s="102"/>
      <c r="BF14" s="198" t="s">
        <v>49</v>
      </c>
      <c r="BG14" s="198"/>
      <c r="BH14" s="198"/>
      <c r="BI14" s="198"/>
      <c r="BJ14" s="82"/>
      <c r="BK14" s="82"/>
      <c r="BL14" s="82"/>
      <c r="BM14" s="83"/>
      <c r="BN14" s="81"/>
      <c r="BO14" s="82"/>
      <c r="BP14" s="82"/>
      <c r="BQ14" s="82"/>
      <c r="BR14" s="198" t="s">
        <v>41</v>
      </c>
      <c r="BS14" s="198"/>
      <c r="BT14" s="198"/>
      <c r="BU14" s="198"/>
      <c r="BV14" s="82"/>
      <c r="BW14" s="82"/>
      <c r="BX14" s="199" t="s">
        <v>42</v>
      </c>
      <c r="BY14" s="199"/>
      <c r="BZ14" s="199"/>
      <c r="CA14" s="199"/>
      <c r="CB14" s="102"/>
      <c r="CC14" s="102"/>
      <c r="CD14" s="198" t="s">
        <v>43</v>
      </c>
      <c r="CE14" s="198"/>
      <c r="CF14" s="198"/>
      <c r="CG14" s="198"/>
      <c r="CH14" s="82"/>
      <c r="CI14" s="82"/>
      <c r="CJ14" s="199" t="s">
        <v>44</v>
      </c>
      <c r="CK14" s="199"/>
      <c r="CL14" s="199"/>
      <c r="CM14" s="199"/>
      <c r="CN14" s="102"/>
      <c r="CO14" s="102"/>
      <c r="CP14" s="198" t="s">
        <v>45</v>
      </c>
      <c r="CQ14" s="198"/>
      <c r="CR14" s="198"/>
      <c r="CS14" s="198"/>
      <c r="CT14" s="82"/>
      <c r="CU14" s="82"/>
      <c r="CV14" s="199" t="s">
        <v>46</v>
      </c>
      <c r="CW14" s="199"/>
      <c r="CX14" s="199"/>
      <c r="CY14" s="199"/>
      <c r="CZ14" s="102"/>
      <c r="DA14" s="102"/>
      <c r="DB14" s="198" t="s">
        <v>47</v>
      </c>
      <c r="DC14" s="198"/>
      <c r="DD14" s="198"/>
      <c r="DE14" s="198"/>
      <c r="DF14" s="82"/>
      <c r="DG14" s="82"/>
      <c r="DH14" s="199" t="s">
        <v>48</v>
      </c>
      <c r="DI14" s="199"/>
      <c r="DJ14" s="199"/>
      <c r="DK14" s="199"/>
      <c r="DL14" s="102"/>
      <c r="DM14" s="102"/>
      <c r="DN14" s="198" t="s">
        <v>49</v>
      </c>
      <c r="DO14" s="198"/>
      <c r="DP14" s="198"/>
      <c r="DQ14" s="198"/>
      <c r="DR14" s="82"/>
      <c r="DS14" s="82"/>
      <c r="DT14" s="82"/>
      <c r="DU14" s="83"/>
      <c r="DV14" s="81"/>
      <c r="DW14" s="82"/>
      <c r="DX14" s="82"/>
      <c r="DY14" s="82"/>
      <c r="DZ14" s="198" t="s">
        <v>41</v>
      </c>
      <c r="EA14" s="198"/>
      <c r="EB14" s="198"/>
      <c r="EC14" s="198"/>
      <c r="ED14" s="82"/>
      <c r="EE14" s="82"/>
      <c r="EF14" s="199" t="s">
        <v>42</v>
      </c>
      <c r="EG14" s="199"/>
      <c r="EH14" s="199"/>
      <c r="EI14" s="199"/>
      <c r="EJ14" s="102"/>
      <c r="EK14" s="102"/>
      <c r="EL14" s="198" t="s">
        <v>43</v>
      </c>
      <c r="EM14" s="198"/>
      <c r="EN14" s="198"/>
      <c r="EO14" s="198"/>
      <c r="EP14" s="82"/>
      <c r="EQ14" s="82"/>
      <c r="ER14" s="199" t="s">
        <v>44</v>
      </c>
      <c r="ES14" s="199"/>
      <c r="ET14" s="199"/>
      <c r="EU14" s="199"/>
      <c r="EV14" s="102"/>
      <c r="EW14" s="102"/>
      <c r="EX14" s="198" t="s">
        <v>45</v>
      </c>
      <c r="EY14" s="198"/>
      <c r="EZ14" s="198"/>
      <c r="FA14" s="198"/>
      <c r="FB14" s="82"/>
      <c r="FC14" s="82"/>
      <c r="FD14" s="199" t="s">
        <v>46</v>
      </c>
      <c r="FE14" s="199"/>
      <c r="FF14" s="199"/>
      <c r="FG14" s="199"/>
      <c r="FH14" s="102"/>
      <c r="FI14" s="102"/>
      <c r="FJ14" s="198" t="s">
        <v>47</v>
      </c>
      <c r="FK14" s="198"/>
      <c r="FL14" s="198"/>
      <c r="FM14" s="198"/>
      <c r="FN14" s="82"/>
      <c r="FO14" s="82"/>
      <c r="FP14" s="199" t="s">
        <v>48</v>
      </c>
      <c r="FQ14" s="199"/>
      <c r="FR14" s="199"/>
      <c r="FS14" s="199"/>
      <c r="FT14" s="102"/>
      <c r="FU14" s="102"/>
      <c r="FV14" s="198" t="s">
        <v>49</v>
      </c>
      <c r="FW14" s="198"/>
      <c r="FX14" s="198"/>
      <c r="FY14" s="198"/>
      <c r="FZ14" s="82"/>
      <c r="GA14" s="82"/>
      <c r="GB14" s="82"/>
      <c r="GC14" s="83"/>
      <c r="GD14" s="81"/>
      <c r="GE14" s="82"/>
      <c r="GF14" s="82"/>
      <c r="GG14" s="82"/>
      <c r="GH14" s="198" t="s">
        <v>41</v>
      </c>
      <c r="GI14" s="198"/>
      <c r="GJ14" s="198"/>
      <c r="GK14" s="198"/>
      <c r="GL14" s="82"/>
      <c r="GM14" s="82"/>
      <c r="GN14" s="199" t="s">
        <v>42</v>
      </c>
      <c r="GO14" s="199"/>
      <c r="GP14" s="199"/>
      <c r="GQ14" s="199"/>
      <c r="GR14" s="102"/>
      <c r="GS14" s="102"/>
      <c r="GT14" s="198" t="s">
        <v>43</v>
      </c>
      <c r="GU14" s="198"/>
      <c r="GV14" s="198"/>
      <c r="GW14" s="198"/>
      <c r="GX14" s="82"/>
      <c r="GY14" s="82"/>
      <c r="GZ14" s="199" t="s">
        <v>44</v>
      </c>
      <c r="HA14" s="199"/>
      <c r="HB14" s="199"/>
      <c r="HC14" s="199"/>
      <c r="HD14" s="102"/>
      <c r="HE14" s="102"/>
      <c r="HF14" s="198" t="s">
        <v>45</v>
      </c>
      <c r="HG14" s="198"/>
      <c r="HH14" s="198"/>
      <c r="HI14" s="198"/>
      <c r="HJ14" s="82"/>
      <c r="HK14" s="82"/>
      <c r="HL14" s="199" t="s">
        <v>46</v>
      </c>
      <c r="HM14" s="199"/>
      <c r="HN14" s="199"/>
      <c r="HO14" s="199"/>
      <c r="HP14" s="102"/>
      <c r="HQ14" s="102"/>
      <c r="HR14" s="198" t="s">
        <v>47</v>
      </c>
      <c r="HS14" s="198"/>
      <c r="HT14" s="198"/>
      <c r="HU14" s="198"/>
      <c r="HV14" s="82"/>
      <c r="HW14" s="82"/>
      <c r="HX14" s="199" t="s">
        <v>48</v>
      </c>
      <c r="HY14" s="199"/>
      <c r="HZ14" s="199"/>
      <c r="IA14" s="199"/>
      <c r="IB14" s="102"/>
      <c r="IC14" s="102"/>
      <c r="ID14" s="198" t="s">
        <v>49</v>
      </c>
      <c r="IE14" s="198"/>
      <c r="IF14" s="198"/>
      <c r="IG14" s="198"/>
      <c r="IH14" s="82"/>
      <c r="II14" s="82"/>
      <c r="IJ14" s="82"/>
      <c r="IK14" s="83"/>
      <c r="IL14" s="81"/>
      <c r="IM14" s="82"/>
      <c r="IN14" s="82"/>
      <c r="IO14" s="82"/>
      <c r="IP14" s="198" t="s">
        <v>41</v>
      </c>
      <c r="IQ14" s="198"/>
      <c r="IR14" s="198"/>
      <c r="IS14" s="198"/>
      <c r="IT14" s="82"/>
      <c r="IU14" s="82"/>
      <c r="IV14" s="199" t="s">
        <v>42</v>
      </c>
      <c r="IW14" s="199"/>
      <c r="IX14" s="199"/>
      <c r="IY14" s="199"/>
      <c r="IZ14" s="102"/>
      <c r="JA14" s="102"/>
      <c r="JB14" s="198" t="s">
        <v>43</v>
      </c>
      <c r="JC14" s="198"/>
      <c r="JD14" s="198"/>
      <c r="JE14" s="198"/>
      <c r="JF14" s="82"/>
      <c r="JG14" s="82"/>
      <c r="JH14" s="199" t="s">
        <v>44</v>
      </c>
      <c r="JI14" s="199"/>
      <c r="JJ14" s="199"/>
      <c r="JK14" s="199"/>
      <c r="JL14" s="102"/>
      <c r="JM14" s="102"/>
      <c r="JN14" s="198" t="s">
        <v>45</v>
      </c>
      <c r="JO14" s="198"/>
      <c r="JP14" s="198"/>
      <c r="JQ14" s="198"/>
      <c r="JR14" s="82"/>
      <c r="JS14" s="82"/>
      <c r="JT14" s="199" t="s">
        <v>46</v>
      </c>
      <c r="JU14" s="199"/>
      <c r="JV14" s="199"/>
      <c r="JW14" s="199"/>
      <c r="JX14" s="102"/>
      <c r="JY14" s="102"/>
      <c r="JZ14" s="198" t="s">
        <v>47</v>
      </c>
      <c r="KA14" s="198"/>
      <c r="KB14" s="198"/>
      <c r="KC14" s="198"/>
      <c r="KD14" s="82"/>
      <c r="KE14" s="82"/>
      <c r="KF14" s="199" t="s">
        <v>48</v>
      </c>
      <c r="KG14" s="199"/>
      <c r="KH14" s="199"/>
      <c r="KI14" s="199"/>
      <c r="KJ14" s="102"/>
      <c r="KK14" s="102"/>
      <c r="KL14" s="198" t="s">
        <v>49</v>
      </c>
      <c r="KM14" s="198"/>
      <c r="KN14" s="198"/>
      <c r="KO14" s="198"/>
      <c r="KP14" s="82"/>
      <c r="KQ14" s="82"/>
      <c r="KR14" s="82"/>
      <c r="KS14" s="83"/>
      <c r="KT14" s="81"/>
      <c r="KU14" s="82"/>
      <c r="KV14" s="82"/>
      <c r="KW14" s="82"/>
      <c r="KX14" s="198" t="s">
        <v>41</v>
      </c>
      <c r="KY14" s="198"/>
      <c r="KZ14" s="198"/>
      <c r="LA14" s="198"/>
      <c r="LB14" s="82"/>
      <c r="LC14" s="82"/>
      <c r="LD14" s="199" t="s">
        <v>42</v>
      </c>
      <c r="LE14" s="199"/>
      <c r="LF14" s="199"/>
      <c r="LG14" s="199"/>
      <c r="LH14" s="102"/>
      <c r="LI14" s="102"/>
      <c r="LJ14" s="198" t="s">
        <v>43</v>
      </c>
      <c r="LK14" s="198"/>
      <c r="LL14" s="198"/>
      <c r="LM14" s="198"/>
      <c r="LN14" s="82"/>
      <c r="LO14" s="82"/>
      <c r="LP14" s="199" t="s">
        <v>44</v>
      </c>
      <c r="LQ14" s="199"/>
      <c r="LR14" s="199"/>
      <c r="LS14" s="199"/>
      <c r="LT14" s="102"/>
      <c r="LU14" s="102"/>
      <c r="LV14" s="198" t="s">
        <v>45</v>
      </c>
      <c r="LW14" s="198"/>
      <c r="LX14" s="198"/>
      <c r="LY14" s="198"/>
      <c r="LZ14" s="82"/>
      <c r="MA14" s="82"/>
      <c r="MB14" s="199" t="s">
        <v>46</v>
      </c>
      <c r="MC14" s="199"/>
      <c r="MD14" s="199"/>
      <c r="ME14" s="199"/>
      <c r="MF14" s="102"/>
      <c r="MG14" s="102"/>
      <c r="MH14" s="198" t="s">
        <v>47</v>
      </c>
      <c r="MI14" s="198"/>
      <c r="MJ14" s="198"/>
      <c r="MK14" s="198"/>
      <c r="ML14" s="82"/>
      <c r="MM14" s="82"/>
      <c r="MN14" s="199" t="s">
        <v>48</v>
      </c>
      <c r="MO14" s="199"/>
      <c r="MP14" s="199"/>
      <c r="MQ14" s="199"/>
      <c r="MR14" s="102"/>
      <c r="MS14" s="102"/>
      <c r="MT14" s="198" t="s">
        <v>49</v>
      </c>
      <c r="MU14" s="198"/>
      <c r="MV14" s="198"/>
      <c r="MW14" s="198"/>
      <c r="MX14" s="82"/>
      <c r="MY14" s="82"/>
      <c r="MZ14" s="82"/>
      <c r="NA14" s="83"/>
      <c r="NB14" s="81"/>
      <c r="NC14" s="82"/>
      <c r="ND14" s="82"/>
      <c r="NE14" s="82"/>
      <c r="NF14" s="198" t="s">
        <v>41</v>
      </c>
      <c r="NG14" s="198"/>
      <c r="NH14" s="198"/>
      <c r="NI14" s="198"/>
      <c r="NJ14" s="82"/>
      <c r="NK14" s="82"/>
      <c r="NL14" s="199" t="s">
        <v>42</v>
      </c>
      <c r="NM14" s="199"/>
      <c r="NN14" s="199"/>
      <c r="NO14" s="199"/>
      <c r="NP14" s="102"/>
      <c r="NQ14" s="102"/>
      <c r="NR14" s="198" t="s">
        <v>43</v>
      </c>
      <c r="NS14" s="198"/>
      <c r="NT14" s="198"/>
      <c r="NU14" s="198"/>
      <c r="NV14" s="82"/>
      <c r="NW14" s="82"/>
      <c r="NX14" s="199" t="s">
        <v>44</v>
      </c>
      <c r="NY14" s="199"/>
      <c r="NZ14" s="199"/>
      <c r="OA14" s="199"/>
      <c r="OB14" s="102"/>
      <c r="OC14" s="102"/>
      <c r="OD14" s="198" t="s">
        <v>45</v>
      </c>
      <c r="OE14" s="198"/>
      <c r="OF14" s="198"/>
      <c r="OG14" s="198"/>
      <c r="OH14" s="82"/>
      <c r="OI14" s="82"/>
      <c r="OJ14" s="199" t="s">
        <v>46</v>
      </c>
      <c r="OK14" s="199"/>
      <c r="OL14" s="199"/>
      <c r="OM14" s="199"/>
      <c r="ON14" s="102"/>
      <c r="OO14" s="102"/>
      <c r="OP14" s="198" t="s">
        <v>47</v>
      </c>
      <c r="OQ14" s="198"/>
      <c r="OR14" s="198"/>
      <c r="OS14" s="198"/>
      <c r="OT14" s="82"/>
      <c r="OU14" s="82"/>
      <c r="OV14" s="199" t="s">
        <v>48</v>
      </c>
      <c r="OW14" s="199"/>
      <c r="OX14" s="199"/>
      <c r="OY14" s="199"/>
      <c r="OZ14" s="102"/>
      <c r="PA14" s="102"/>
      <c r="PB14" s="198" t="s">
        <v>49</v>
      </c>
      <c r="PC14" s="198"/>
      <c r="PD14" s="198"/>
      <c r="PE14" s="198"/>
      <c r="PF14" s="82"/>
      <c r="PG14" s="82"/>
      <c r="PH14" s="82"/>
      <c r="PI14" s="83"/>
      <c r="PJ14" s="81"/>
      <c r="PK14" s="82"/>
      <c r="PL14" s="82"/>
      <c r="PM14" s="82"/>
      <c r="PN14" s="198" t="s">
        <v>41</v>
      </c>
      <c r="PO14" s="198"/>
      <c r="PP14" s="198"/>
      <c r="PQ14" s="198"/>
      <c r="PR14" s="82"/>
      <c r="PS14" s="82"/>
      <c r="PT14" s="199" t="s">
        <v>42</v>
      </c>
      <c r="PU14" s="199"/>
      <c r="PV14" s="199"/>
      <c r="PW14" s="199"/>
      <c r="PX14" s="102"/>
      <c r="PY14" s="102"/>
      <c r="PZ14" s="198" t="s">
        <v>43</v>
      </c>
      <c r="QA14" s="198"/>
      <c r="QB14" s="198"/>
      <c r="QC14" s="198"/>
      <c r="QD14" s="82"/>
      <c r="QE14" s="82"/>
      <c r="QF14" s="199" t="s">
        <v>44</v>
      </c>
      <c r="QG14" s="199"/>
      <c r="QH14" s="199"/>
      <c r="QI14" s="199"/>
      <c r="QJ14" s="102"/>
      <c r="QK14" s="102"/>
      <c r="QL14" s="198" t="s">
        <v>45</v>
      </c>
      <c r="QM14" s="198"/>
      <c r="QN14" s="198"/>
      <c r="QO14" s="198"/>
      <c r="QP14" s="82"/>
      <c r="QQ14" s="82"/>
      <c r="QR14" s="199" t="s">
        <v>46</v>
      </c>
      <c r="QS14" s="199"/>
      <c r="QT14" s="199"/>
      <c r="QU14" s="199"/>
      <c r="QV14" s="102"/>
      <c r="QW14" s="102"/>
      <c r="QX14" s="198" t="s">
        <v>47</v>
      </c>
      <c r="QY14" s="198"/>
      <c r="QZ14" s="198"/>
      <c r="RA14" s="198"/>
      <c r="RB14" s="82"/>
      <c r="RC14" s="82"/>
      <c r="RD14" s="199" t="s">
        <v>48</v>
      </c>
      <c r="RE14" s="199"/>
      <c r="RF14" s="199"/>
      <c r="RG14" s="199"/>
      <c r="RH14" s="102"/>
      <c r="RI14" s="102"/>
      <c r="RJ14" s="198" t="s">
        <v>49</v>
      </c>
      <c r="RK14" s="198"/>
      <c r="RL14" s="198"/>
      <c r="RM14" s="198"/>
      <c r="RN14" s="82"/>
      <c r="RO14" s="82"/>
      <c r="RP14" s="82"/>
      <c r="RQ14" s="83"/>
      <c r="RR14" s="81"/>
      <c r="RS14" s="82"/>
      <c r="RT14" s="82"/>
      <c r="RU14" s="82"/>
      <c r="RV14" s="198" t="s">
        <v>41</v>
      </c>
      <c r="RW14" s="198"/>
      <c r="RX14" s="198"/>
      <c r="RY14" s="198"/>
      <c r="RZ14" s="82"/>
      <c r="SA14" s="82"/>
      <c r="SB14" s="199" t="s">
        <v>42</v>
      </c>
      <c r="SC14" s="199"/>
      <c r="SD14" s="199"/>
      <c r="SE14" s="199"/>
      <c r="SF14" s="102"/>
      <c r="SG14" s="102"/>
      <c r="SH14" s="198" t="s">
        <v>43</v>
      </c>
      <c r="SI14" s="198"/>
      <c r="SJ14" s="198"/>
      <c r="SK14" s="198"/>
      <c r="SL14" s="82"/>
      <c r="SM14" s="82"/>
      <c r="SN14" s="199" t="s">
        <v>44</v>
      </c>
      <c r="SO14" s="199"/>
      <c r="SP14" s="199"/>
      <c r="SQ14" s="199"/>
      <c r="SR14" s="102"/>
      <c r="SS14" s="102"/>
      <c r="ST14" s="198" t="s">
        <v>45</v>
      </c>
      <c r="SU14" s="198"/>
      <c r="SV14" s="198"/>
      <c r="SW14" s="198"/>
      <c r="SX14" s="82"/>
      <c r="SY14" s="82"/>
      <c r="SZ14" s="199" t="s">
        <v>46</v>
      </c>
      <c r="TA14" s="199"/>
      <c r="TB14" s="199"/>
      <c r="TC14" s="199"/>
      <c r="TD14" s="102"/>
      <c r="TE14" s="102"/>
      <c r="TF14" s="198" t="s">
        <v>47</v>
      </c>
      <c r="TG14" s="198"/>
      <c r="TH14" s="198"/>
      <c r="TI14" s="198"/>
      <c r="TJ14" s="82"/>
      <c r="TK14" s="82"/>
      <c r="TL14" s="199" t="s">
        <v>48</v>
      </c>
      <c r="TM14" s="199"/>
      <c r="TN14" s="199"/>
      <c r="TO14" s="199"/>
      <c r="TP14" s="102"/>
      <c r="TQ14" s="102"/>
      <c r="TR14" s="198" t="s">
        <v>49</v>
      </c>
      <c r="TS14" s="198"/>
      <c r="TT14" s="198"/>
      <c r="TU14" s="198"/>
      <c r="TV14" s="82"/>
      <c r="TW14" s="82"/>
      <c r="TX14" s="82"/>
      <c r="TY14" s="83"/>
      <c r="TZ14" s="81"/>
      <c r="UA14" s="82"/>
      <c r="UB14" s="82"/>
      <c r="UC14" s="82"/>
      <c r="UD14" s="198" t="s">
        <v>41</v>
      </c>
      <c r="UE14" s="198"/>
      <c r="UF14" s="198"/>
      <c r="UG14" s="198"/>
      <c r="UH14" s="82"/>
      <c r="UI14" s="82"/>
      <c r="UJ14" s="199" t="s">
        <v>42</v>
      </c>
      <c r="UK14" s="199"/>
      <c r="UL14" s="199"/>
      <c r="UM14" s="199"/>
      <c r="UN14" s="102"/>
      <c r="UO14" s="102"/>
      <c r="UP14" s="198" t="s">
        <v>43</v>
      </c>
      <c r="UQ14" s="198"/>
      <c r="UR14" s="198"/>
      <c r="US14" s="198"/>
      <c r="UT14" s="82"/>
      <c r="UU14" s="82"/>
      <c r="UV14" s="199" t="s">
        <v>44</v>
      </c>
      <c r="UW14" s="199"/>
      <c r="UX14" s="199"/>
      <c r="UY14" s="199"/>
      <c r="UZ14" s="102"/>
      <c r="VA14" s="102"/>
      <c r="VB14" s="198" t="s">
        <v>45</v>
      </c>
      <c r="VC14" s="198"/>
      <c r="VD14" s="198"/>
      <c r="VE14" s="198"/>
      <c r="VF14" s="82"/>
      <c r="VG14" s="82"/>
      <c r="VH14" s="199" t="s">
        <v>46</v>
      </c>
      <c r="VI14" s="199"/>
      <c r="VJ14" s="199"/>
      <c r="VK14" s="199"/>
      <c r="VL14" s="102"/>
      <c r="VM14" s="102"/>
      <c r="VN14" s="198" t="s">
        <v>47</v>
      </c>
      <c r="VO14" s="198"/>
      <c r="VP14" s="198"/>
      <c r="VQ14" s="198"/>
      <c r="VR14" s="82"/>
      <c r="VS14" s="82"/>
      <c r="VT14" s="199" t="s">
        <v>48</v>
      </c>
      <c r="VU14" s="199"/>
      <c r="VV14" s="199"/>
      <c r="VW14" s="199"/>
      <c r="VX14" s="102"/>
      <c r="VY14" s="102"/>
      <c r="VZ14" s="198" t="s">
        <v>49</v>
      </c>
      <c r="WA14" s="198"/>
      <c r="WB14" s="198"/>
      <c r="WC14" s="198"/>
      <c r="WD14" s="82"/>
      <c r="WE14" s="82"/>
      <c r="WF14" s="82"/>
      <c r="WG14" s="83"/>
      <c r="WH14" s="81"/>
      <c r="WI14" s="82"/>
      <c r="WJ14" s="82"/>
      <c r="WK14" s="82"/>
      <c r="WL14" s="198" t="s">
        <v>41</v>
      </c>
      <c r="WM14" s="198"/>
      <c r="WN14" s="198"/>
      <c r="WO14" s="198"/>
      <c r="WP14" s="82"/>
      <c r="WQ14" s="82"/>
      <c r="WR14" s="199" t="s">
        <v>42</v>
      </c>
      <c r="WS14" s="199"/>
      <c r="WT14" s="199"/>
      <c r="WU14" s="199"/>
      <c r="WV14" s="102"/>
      <c r="WW14" s="102"/>
      <c r="WX14" s="198" t="s">
        <v>43</v>
      </c>
      <c r="WY14" s="198"/>
      <c r="WZ14" s="198"/>
      <c r="XA14" s="198"/>
      <c r="XB14" s="82"/>
      <c r="XC14" s="82"/>
      <c r="XD14" s="199" t="s">
        <v>44</v>
      </c>
      <c r="XE14" s="199"/>
      <c r="XF14" s="199"/>
      <c r="XG14" s="199"/>
      <c r="XH14" s="102"/>
      <c r="XI14" s="102"/>
      <c r="XJ14" s="198" t="s">
        <v>45</v>
      </c>
      <c r="XK14" s="198"/>
      <c r="XL14" s="198"/>
      <c r="XM14" s="198"/>
      <c r="XN14" s="82"/>
      <c r="XO14" s="82"/>
      <c r="XP14" s="199" t="s">
        <v>46</v>
      </c>
      <c r="XQ14" s="199"/>
      <c r="XR14" s="199"/>
      <c r="XS14" s="199"/>
      <c r="XT14" s="102"/>
      <c r="XU14" s="102"/>
      <c r="XV14" s="198" t="s">
        <v>47</v>
      </c>
      <c r="XW14" s="198"/>
      <c r="XX14" s="198"/>
      <c r="XY14" s="198"/>
      <c r="XZ14" s="82"/>
      <c r="YA14" s="82"/>
      <c r="YB14" s="199" t="s">
        <v>48</v>
      </c>
      <c r="YC14" s="199"/>
      <c r="YD14" s="199"/>
      <c r="YE14" s="199"/>
      <c r="YF14" s="102"/>
      <c r="YG14" s="102"/>
      <c r="YH14" s="198" t="s">
        <v>49</v>
      </c>
      <c r="YI14" s="198"/>
      <c r="YJ14" s="198"/>
      <c r="YK14" s="198"/>
      <c r="YL14" s="82"/>
      <c r="YM14" s="82"/>
      <c r="YN14" s="82"/>
      <c r="YO14" s="83"/>
      <c r="YP14" s="81"/>
      <c r="YQ14" s="82"/>
      <c r="YR14" s="82"/>
      <c r="YS14" s="82"/>
      <c r="YT14" s="198" t="s">
        <v>41</v>
      </c>
      <c r="YU14" s="198"/>
      <c r="YV14" s="198"/>
      <c r="YW14" s="198"/>
      <c r="YX14" s="82"/>
      <c r="YY14" s="82"/>
      <c r="YZ14" s="199" t="s">
        <v>42</v>
      </c>
      <c r="ZA14" s="199"/>
      <c r="ZB14" s="199"/>
      <c r="ZC14" s="199"/>
      <c r="ZD14" s="102"/>
      <c r="ZE14" s="102"/>
      <c r="ZF14" s="198" t="s">
        <v>43</v>
      </c>
      <c r="ZG14" s="198"/>
      <c r="ZH14" s="198"/>
      <c r="ZI14" s="198"/>
      <c r="ZJ14" s="82"/>
      <c r="ZK14" s="82"/>
      <c r="ZL14" s="199" t="s">
        <v>44</v>
      </c>
      <c r="ZM14" s="199"/>
      <c r="ZN14" s="199"/>
      <c r="ZO14" s="199"/>
      <c r="ZP14" s="102"/>
      <c r="ZQ14" s="102"/>
      <c r="ZR14" s="198" t="s">
        <v>45</v>
      </c>
      <c r="ZS14" s="198"/>
      <c r="ZT14" s="198"/>
      <c r="ZU14" s="198"/>
      <c r="ZV14" s="82"/>
      <c r="ZW14" s="82"/>
      <c r="ZX14" s="199" t="s">
        <v>46</v>
      </c>
      <c r="ZY14" s="199"/>
      <c r="ZZ14" s="199"/>
      <c r="AAA14" s="199"/>
      <c r="AAB14" s="102"/>
      <c r="AAC14" s="102"/>
      <c r="AAD14" s="198" t="s">
        <v>47</v>
      </c>
      <c r="AAE14" s="198"/>
      <c r="AAF14" s="198"/>
      <c r="AAG14" s="198"/>
      <c r="AAH14" s="82"/>
      <c r="AAI14" s="82"/>
      <c r="AAJ14" s="199" t="s">
        <v>48</v>
      </c>
      <c r="AAK14" s="199"/>
      <c r="AAL14" s="199"/>
      <c r="AAM14" s="199"/>
      <c r="AAN14" s="102"/>
      <c r="AAO14" s="102"/>
      <c r="AAP14" s="198" t="s">
        <v>49</v>
      </c>
      <c r="AAQ14" s="198"/>
      <c r="AAR14" s="198"/>
      <c r="AAS14" s="198"/>
      <c r="AAT14" s="82"/>
      <c r="AAU14" s="82"/>
      <c r="AAV14" s="82"/>
      <c r="AAW14" s="83"/>
      <c r="AAX14" s="81"/>
      <c r="AAY14" s="82"/>
      <c r="AAZ14" s="82"/>
      <c r="ABA14" s="82"/>
      <c r="ABB14" s="198" t="s">
        <v>41</v>
      </c>
      <c r="ABC14" s="198"/>
      <c r="ABD14" s="198"/>
      <c r="ABE14" s="198"/>
      <c r="ABF14" s="82"/>
      <c r="ABG14" s="82"/>
      <c r="ABH14" s="199" t="s">
        <v>42</v>
      </c>
      <c r="ABI14" s="199"/>
      <c r="ABJ14" s="199"/>
      <c r="ABK14" s="199"/>
      <c r="ABL14" s="102"/>
      <c r="ABM14" s="102"/>
      <c r="ABN14" s="198" t="s">
        <v>43</v>
      </c>
      <c r="ABO14" s="198"/>
      <c r="ABP14" s="198"/>
      <c r="ABQ14" s="198"/>
      <c r="ABR14" s="82"/>
      <c r="ABS14" s="82"/>
      <c r="ABT14" s="199" t="s">
        <v>44</v>
      </c>
      <c r="ABU14" s="199"/>
      <c r="ABV14" s="199"/>
      <c r="ABW14" s="199"/>
      <c r="ABX14" s="102"/>
      <c r="ABY14" s="102"/>
      <c r="ABZ14" s="198" t="s">
        <v>45</v>
      </c>
      <c r="ACA14" s="198"/>
      <c r="ACB14" s="198"/>
      <c r="ACC14" s="198"/>
      <c r="ACD14" s="82"/>
      <c r="ACE14" s="82"/>
      <c r="ACF14" s="199" t="s">
        <v>46</v>
      </c>
      <c r="ACG14" s="199"/>
      <c r="ACH14" s="199"/>
      <c r="ACI14" s="199"/>
      <c r="ACJ14" s="102"/>
      <c r="ACK14" s="102"/>
      <c r="ACL14" s="198" t="s">
        <v>47</v>
      </c>
      <c r="ACM14" s="198"/>
      <c r="ACN14" s="198"/>
      <c r="ACO14" s="198"/>
      <c r="ACP14" s="82"/>
      <c r="ACQ14" s="82"/>
      <c r="ACR14" s="199" t="s">
        <v>48</v>
      </c>
      <c r="ACS14" s="199"/>
      <c r="ACT14" s="199"/>
      <c r="ACU14" s="199"/>
      <c r="ACV14" s="102"/>
      <c r="ACW14" s="102"/>
      <c r="ACX14" s="198" t="s">
        <v>49</v>
      </c>
      <c r="ACY14" s="198"/>
      <c r="ACZ14" s="198"/>
      <c r="ADA14" s="198"/>
      <c r="ADB14" s="82"/>
      <c r="ADC14" s="82"/>
      <c r="ADD14" s="82"/>
      <c r="ADE14" s="83"/>
      <c r="ADF14" s="81"/>
      <c r="ADG14" s="82"/>
      <c r="ADH14" s="82"/>
      <c r="ADI14" s="82"/>
      <c r="ADJ14" s="198" t="s">
        <v>41</v>
      </c>
      <c r="ADK14" s="198"/>
      <c r="ADL14" s="198"/>
      <c r="ADM14" s="198"/>
      <c r="ADN14" s="82"/>
      <c r="ADO14" s="82"/>
      <c r="ADP14" s="199" t="s">
        <v>42</v>
      </c>
      <c r="ADQ14" s="199"/>
      <c r="ADR14" s="199"/>
      <c r="ADS14" s="199"/>
      <c r="ADT14" s="102"/>
      <c r="ADU14" s="102"/>
      <c r="ADV14" s="198" t="s">
        <v>43</v>
      </c>
      <c r="ADW14" s="198"/>
      <c r="ADX14" s="198"/>
      <c r="ADY14" s="198"/>
      <c r="ADZ14" s="82"/>
      <c r="AEA14" s="82"/>
      <c r="AEB14" s="199" t="s">
        <v>44</v>
      </c>
      <c r="AEC14" s="199"/>
      <c r="AED14" s="199"/>
      <c r="AEE14" s="199"/>
      <c r="AEF14" s="102"/>
      <c r="AEG14" s="102"/>
      <c r="AEH14" s="198" t="s">
        <v>45</v>
      </c>
      <c r="AEI14" s="198"/>
      <c r="AEJ14" s="198"/>
      <c r="AEK14" s="198"/>
      <c r="AEL14" s="82"/>
      <c r="AEM14" s="82"/>
      <c r="AEN14" s="199" t="s">
        <v>46</v>
      </c>
      <c r="AEO14" s="199"/>
      <c r="AEP14" s="199"/>
      <c r="AEQ14" s="199"/>
      <c r="AER14" s="102"/>
      <c r="AES14" s="102"/>
      <c r="AET14" s="198" t="s">
        <v>47</v>
      </c>
      <c r="AEU14" s="198"/>
      <c r="AEV14" s="198"/>
      <c r="AEW14" s="198"/>
      <c r="AEX14" s="82"/>
      <c r="AEY14" s="82"/>
      <c r="AEZ14" s="199" t="s">
        <v>48</v>
      </c>
      <c r="AFA14" s="199"/>
      <c r="AFB14" s="199"/>
      <c r="AFC14" s="199"/>
      <c r="AFD14" s="102"/>
      <c r="AFE14" s="102"/>
      <c r="AFF14" s="198" t="s">
        <v>49</v>
      </c>
      <c r="AFG14" s="198"/>
      <c r="AFH14" s="198"/>
      <c r="AFI14" s="198"/>
      <c r="AFJ14" s="82"/>
      <c r="AFK14" s="82"/>
      <c r="AFL14" s="82"/>
      <c r="AFM14" s="83"/>
      <c r="AFN14" s="81"/>
      <c r="AFO14" s="82"/>
      <c r="AFP14" s="82"/>
      <c r="AFQ14" s="82"/>
      <c r="AFR14" s="198" t="s">
        <v>41</v>
      </c>
      <c r="AFS14" s="198"/>
      <c r="AFT14" s="198"/>
      <c r="AFU14" s="198"/>
      <c r="AFV14" s="82"/>
      <c r="AFW14" s="82"/>
      <c r="AFX14" s="199" t="s">
        <v>42</v>
      </c>
      <c r="AFY14" s="199"/>
      <c r="AFZ14" s="199"/>
      <c r="AGA14" s="199"/>
      <c r="AGB14" s="102"/>
      <c r="AGC14" s="102"/>
      <c r="AGD14" s="198" t="s">
        <v>43</v>
      </c>
      <c r="AGE14" s="198"/>
      <c r="AGF14" s="198"/>
      <c r="AGG14" s="198"/>
      <c r="AGH14" s="82"/>
      <c r="AGI14" s="82"/>
      <c r="AGJ14" s="199" t="s">
        <v>44</v>
      </c>
      <c r="AGK14" s="199"/>
      <c r="AGL14" s="199"/>
      <c r="AGM14" s="199"/>
      <c r="AGN14" s="102"/>
      <c r="AGO14" s="102"/>
      <c r="AGP14" s="198" t="s">
        <v>45</v>
      </c>
      <c r="AGQ14" s="198"/>
      <c r="AGR14" s="198"/>
      <c r="AGS14" s="198"/>
      <c r="AGT14" s="82"/>
      <c r="AGU14" s="82"/>
      <c r="AGV14" s="199" t="s">
        <v>46</v>
      </c>
      <c r="AGW14" s="199"/>
      <c r="AGX14" s="199"/>
      <c r="AGY14" s="199"/>
      <c r="AGZ14" s="102"/>
      <c r="AHA14" s="102"/>
      <c r="AHB14" s="198" t="s">
        <v>47</v>
      </c>
      <c r="AHC14" s="198"/>
      <c r="AHD14" s="198"/>
      <c r="AHE14" s="198"/>
      <c r="AHF14" s="82"/>
      <c r="AHG14" s="82"/>
      <c r="AHH14" s="199" t="s">
        <v>48</v>
      </c>
      <c r="AHI14" s="199"/>
      <c r="AHJ14" s="199"/>
      <c r="AHK14" s="199"/>
      <c r="AHL14" s="102"/>
      <c r="AHM14" s="102"/>
      <c r="AHN14" s="198" t="s">
        <v>49</v>
      </c>
      <c r="AHO14" s="198"/>
      <c r="AHP14" s="198"/>
      <c r="AHQ14" s="198"/>
      <c r="AHR14" s="82"/>
      <c r="AHS14" s="82"/>
      <c r="AHT14" s="82"/>
      <c r="AHU14" s="83"/>
      <c r="AHV14" s="81"/>
      <c r="AHW14" s="82"/>
      <c r="AHX14" s="82"/>
      <c r="AHY14" s="82"/>
      <c r="AHZ14" s="198" t="s">
        <v>41</v>
      </c>
      <c r="AIA14" s="198"/>
      <c r="AIB14" s="198"/>
      <c r="AIC14" s="198"/>
      <c r="AID14" s="82"/>
      <c r="AIE14" s="82"/>
      <c r="AIF14" s="199" t="s">
        <v>42</v>
      </c>
      <c r="AIG14" s="199"/>
      <c r="AIH14" s="199"/>
      <c r="AII14" s="199"/>
      <c r="AIJ14" s="102"/>
      <c r="AIK14" s="102"/>
      <c r="AIL14" s="198" t="s">
        <v>43</v>
      </c>
      <c r="AIM14" s="198"/>
      <c r="AIN14" s="198"/>
      <c r="AIO14" s="198"/>
      <c r="AIP14" s="82"/>
      <c r="AIQ14" s="82"/>
      <c r="AIR14" s="199" t="s">
        <v>44</v>
      </c>
      <c r="AIS14" s="199"/>
      <c r="AIT14" s="199"/>
      <c r="AIU14" s="199"/>
      <c r="AIV14" s="102"/>
      <c r="AIW14" s="102"/>
      <c r="AIX14" s="198" t="s">
        <v>45</v>
      </c>
      <c r="AIY14" s="198"/>
      <c r="AIZ14" s="198"/>
      <c r="AJA14" s="198"/>
      <c r="AJB14" s="82"/>
      <c r="AJC14" s="82"/>
      <c r="AJD14" s="199" t="s">
        <v>46</v>
      </c>
      <c r="AJE14" s="199"/>
      <c r="AJF14" s="199"/>
      <c r="AJG14" s="199"/>
      <c r="AJH14" s="102"/>
      <c r="AJI14" s="102"/>
      <c r="AJJ14" s="198" t="s">
        <v>47</v>
      </c>
      <c r="AJK14" s="198"/>
      <c r="AJL14" s="198"/>
      <c r="AJM14" s="198"/>
      <c r="AJN14" s="82"/>
      <c r="AJO14" s="82"/>
      <c r="AJP14" s="199" t="s">
        <v>48</v>
      </c>
      <c r="AJQ14" s="199"/>
      <c r="AJR14" s="199"/>
      <c r="AJS14" s="199"/>
      <c r="AJT14" s="102"/>
      <c r="AJU14" s="102"/>
      <c r="AJV14" s="198" t="s">
        <v>49</v>
      </c>
      <c r="AJW14" s="198"/>
      <c r="AJX14" s="198"/>
      <c r="AJY14" s="198"/>
      <c r="AJZ14" s="82"/>
      <c r="AKA14" s="82"/>
      <c r="AKB14" s="82"/>
      <c r="AKC14" s="83"/>
      <c r="AKD14" s="81"/>
      <c r="AKE14" s="82"/>
      <c r="AKF14" s="82"/>
      <c r="AKG14" s="82"/>
      <c r="AKH14" s="198" t="s">
        <v>41</v>
      </c>
      <c r="AKI14" s="198"/>
      <c r="AKJ14" s="198"/>
      <c r="AKK14" s="198"/>
      <c r="AKL14" s="82"/>
      <c r="AKM14" s="82"/>
      <c r="AKN14" s="199" t="s">
        <v>42</v>
      </c>
      <c r="AKO14" s="199"/>
      <c r="AKP14" s="199"/>
      <c r="AKQ14" s="199"/>
      <c r="AKR14" s="102"/>
      <c r="AKS14" s="102"/>
      <c r="AKT14" s="198" t="s">
        <v>43</v>
      </c>
      <c r="AKU14" s="198"/>
      <c r="AKV14" s="198"/>
      <c r="AKW14" s="198"/>
      <c r="AKX14" s="82"/>
      <c r="AKY14" s="82"/>
      <c r="AKZ14" s="199" t="s">
        <v>44</v>
      </c>
      <c r="ALA14" s="199"/>
      <c r="ALB14" s="199"/>
      <c r="ALC14" s="199"/>
      <c r="ALD14" s="102"/>
      <c r="ALE14" s="102"/>
      <c r="ALF14" s="198" t="s">
        <v>45</v>
      </c>
      <c r="ALG14" s="198"/>
      <c r="ALH14" s="198"/>
      <c r="ALI14" s="198"/>
      <c r="ALJ14" s="82"/>
      <c r="ALK14" s="82"/>
      <c r="ALL14" s="199" t="s">
        <v>46</v>
      </c>
      <c r="ALM14" s="199"/>
      <c r="ALN14" s="199"/>
      <c r="ALO14" s="199"/>
      <c r="ALP14" s="102"/>
      <c r="ALQ14" s="102"/>
      <c r="ALR14" s="198" t="s">
        <v>47</v>
      </c>
      <c r="ALS14" s="198"/>
      <c r="ALT14" s="198"/>
      <c r="ALU14" s="198"/>
      <c r="ALV14" s="82"/>
      <c r="ALW14" s="82"/>
      <c r="ALX14" s="199" t="s">
        <v>48</v>
      </c>
      <c r="ALY14" s="199"/>
      <c r="ALZ14" s="199"/>
      <c r="AMA14" s="199"/>
      <c r="AMB14" s="102"/>
      <c r="AMC14" s="102"/>
      <c r="AMD14" s="198" t="s">
        <v>49</v>
      </c>
      <c r="AME14" s="198"/>
      <c r="AMF14" s="198"/>
      <c r="AMG14" s="198"/>
      <c r="AMH14" s="82"/>
      <c r="AMI14" s="82"/>
      <c r="AMJ14" s="82"/>
      <c r="AMK14" s="83"/>
      <c r="AML14" s="81"/>
      <c r="AMM14" s="82"/>
      <c r="AMN14" s="82"/>
      <c r="AMO14" s="82"/>
      <c r="AMP14" s="198" t="s">
        <v>41</v>
      </c>
      <c r="AMQ14" s="198"/>
      <c r="AMR14" s="198"/>
      <c r="AMS14" s="198"/>
      <c r="AMT14" s="82"/>
      <c r="AMU14" s="82"/>
      <c r="AMV14" s="199" t="s">
        <v>42</v>
      </c>
      <c r="AMW14" s="199"/>
      <c r="AMX14" s="199"/>
      <c r="AMY14" s="199"/>
      <c r="AMZ14" s="102"/>
      <c r="ANA14" s="102"/>
      <c r="ANB14" s="198" t="s">
        <v>43</v>
      </c>
      <c r="ANC14" s="198"/>
      <c r="AND14" s="198"/>
      <c r="ANE14" s="198"/>
      <c r="ANF14" s="82"/>
      <c r="ANG14" s="82"/>
      <c r="ANH14" s="199" t="s">
        <v>44</v>
      </c>
      <c r="ANI14" s="199"/>
      <c r="ANJ14" s="199"/>
      <c r="ANK14" s="199"/>
      <c r="ANL14" s="102"/>
      <c r="ANM14" s="102"/>
      <c r="ANN14" s="198" t="s">
        <v>45</v>
      </c>
      <c r="ANO14" s="198"/>
      <c r="ANP14" s="198"/>
      <c r="ANQ14" s="198"/>
      <c r="ANR14" s="82"/>
      <c r="ANS14" s="82"/>
      <c r="ANT14" s="199" t="s">
        <v>46</v>
      </c>
      <c r="ANU14" s="199"/>
      <c r="ANV14" s="199"/>
      <c r="ANW14" s="199"/>
      <c r="ANX14" s="102"/>
      <c r="ANY14" s="102"/>
      <c r="ANZ14" s="198" t="s">
        <v>47</v>
      </c>
      <c r="AOA14" s="198"/>
      <c r="AOB14" s="198"/>
      <c r="AOC14" s="198"/>
      <c r="AOD14" s="82"/>
      <c r="AOE14" s="82"/>
      <c r="AOF14" s="199" t="s">
        <v>48</v>
      </c>
      <c r="AOG14" s="199"/>
      <c r="AOH14" s="199"/>
      <c r="AOI14" s="199"/>
      <c r="AOJ14" s="102"/>
      <c r="AOK14" s="102"/>
      <c r="AOL14" s="198" t="s">
        <v>49</v>
      </c>
      <c r="AOM14" s="198"/>
      <c r="AON14" s="198"/>
      <c r="AOO14" s="198"/>
      <c r="AOP14" s="82"/>
      <c r="AOQ14" s="82"/>
      <c r="AOR14" s="82"/>
      <c r="AOS14" s="83"/>
      <c r="AOT14" s="81"/>
      <c r="AOU14" s="82"/>
      <c r="AOV14" s="82"/>
      <c r="AOW14" s="82"/>
      <c r="AOX14" s="198" t="s">
        <v>41</v>
      </c>
      <c r="AOY14" s="198"/>
      <c r="AOZ14" s="198"/>
      <c r="APA14" s="198"/>
      <c r="APB14" s="82"/>
      <c r="APC14" s="82"/>
      <c r="APD14" s="199" t="s">
        <v>42</v>
      </c>
      <c r="APE14" s="199"/>
      <c r="APF14" s="199"/>
      <c r="APG14" s="199"/>
      <c r="APH14" s="102"/>
      <c r="API14" s="102"/>
      <c r="APJ14" s="198" t="s">
        <v>43</v>
      </c>
      <c r="APK14" s="198"/>
      <c r="APL14" s="198"/>
      <c r="APM14" s="198"/>
      <c r="APN14" s="82"/>
      <c r="APO14" s="82"/>
      <c r="APP14" s="199" t="s">
        <v>44</v>
      </c>
      <c r="APQ14" s="199"/>
      <c r="APR14" s="199"/>
      <c r="APS14" s="199"/>
      <c r="APT14" s="102"/>
      <c r="APU14" s="102"/>
      <c r="APV14" s="198" t="s">
        <v>45</v>
      </c>
      <c r="APW14" s="198"/>
      <c r="APX14" s="198"/>
      <c r="APY14" s="198"/>
      <c r="APZ14" s="82"/>
      <c r="AQA14" s="82"/>
      <c r="AQB14" s="199" t="s">
        <v>46</v>
      </c>
      <c r="AQC14" s="199"/>
      <c r="AQD14" s="199"/>
      <c r="AQE14" s="199"/>
      <c r="AQF14" s="102"/>
      <c r="AQG14" s="102"/>
      <c r="AQH14" s="198" t="s">
        <v>47</v>
      </c>
      <c r="AQI14" s="198"/>
      <c r="AQJ14" s="198"/>
      <c r="AQK14" s="198"/>
      <c r="AQL14" s="82"/>
      <c r="AQM14" s="82"/>
      <c r="AQN14" s="199" t="s">
        <v>48</v>
      </c>
      <c r="AQO14" s="199"/>
      <c r="AQP14" s="199"/>
      <c r="AQQ14" s="199"/>
      <c r="AQR14" s="102"/>
      <c r="AQS14" s="102"/>
      <c r="AQT14" s="198" t="s">
        <v>49</v>
      </c>
      <c r="AQU14" s="198"/>
      <c r="AQV14" s="198"/>
      <c r="AQW14" s="198"/>
      <c r="AQX14" s="82"/>
      <c r="AQY14" s="82"/>
      <c r="AQZ14" s="82"/>
      <c r="ARA14" s="83"/>
      <c r="ARB14" s="81"/>
      <c r="ARC14" s="82"/>
      <c r="ARD14" s="82"/>
      <c r="ARE14" s="82"/>
      <c r="ARF14" s="198" t="s">
        <v>41</v>
      </c>
      <c r="ARG14" s="198"/>
      <c r="ARH14" s="198"/>
      <c r="ARI14" s="198"/>
      <c r="ARJ14" s="82"/>
      <c r="ARK14" s="82"/>
      <c r="ARL14" s="199" t="s">
        <v>42</v>
      </c>
      <c r="ARM14" s="199"/>
      <c r="ARN14" s="199"/>
      <c r="ARO14" s="199"/>
      <c r="ARP14" s="102"/>
      <c r="ARQ14" s="102"/>
      <c r="ARR14" s="198" t="s">
        <v>43</v>
      </c>
      <c r="ARS14" s="198"/>
      <c r="ART14" s="198"/>
      <c r="ARU14" s="198"/>
      <c r="ARV14" s="82"/>
      <c r="ARW14" s="82"/>
      <c r="ARX14" s="199" t="s">
        <v>44</v>
      </c>
      <c r="ARY14" s="199"/>
      <c r="ARZ14" s="199"/>
      <c r="ASA14" s="199"/>
      <c r="ASB14" s="102"/>
      <c r="ASC14" s="102"/>
      <c r="ASD14" s="198" t="s">
        <v>45</v>
      </c>
      <c r="ASE14" s="198"/>
      <c r="ASF14" s="198"/>
      <c r="ASG14" s="198"/>
      <c r="ASH14" s="82"/>
      <c r="ASI14" s="82"/>
      <c r="ASJ14" s="199" t="s">
        <v>46</v>
      </c>
      <c r="ASK14" s="199"/>
      <c r="ASL14" s="199"/>
      <c r="ASM14" s="199"/>
      <c r="ASN14" s="102"/>
      <c r="ASO14" s="102"/>
      <c r="ASP14" s="198" t="s">
        <v>47</v>
      </c>
      <c r="ASQ14" s="198"/>
      <c r="ASR14" s="198"/>
      <c r="ASS14" s="198"/>
      <c r="AST14" s="82"/>
      <c r="ASU14" s="82"/>
      <c r="ASV14" s="199" t="s">
        <v>48</v>
      </c>
      <c r="ASW14" s="199"/>
      <c r="ASX14" s="199"/>
      <c r="ASY14" s="199"/>
      <c r="ASZ14" s="102"/>
      <c r="ATA14" s="102"/>
      <c r="ATB14" s="198" t="s">
        <v>49</v>
      </c>
      <c r="ATC14" s="198"/>
      <c r="ATD14" s="198"/>
      <c r="ATE14" s="198"/>
      <c r="ATF14" s="82"/>
      <c r="ATG14" s="82"/>
      <c r="ATH14" s="82"/>
      <c r="ATI14" s="83"/>
      <c r="ATJ14" s="81"/>
      <c r="ATK14" s="82"/>
      <c r="ATL14" s="82"/>
      <c r="ATM14" s="82"/>
      <c r="ATN14" s="198" t="s">
        <v>41</v>
      </c>
      <c r="ATO14" s="198"/>
      <c r="ATP14" s="198"/>
      <c r="ATQ14" s="198"/>
      <c r="ATR14" s="82"/>
      <c r="ATS14" s="82"/>
      <c r="ATT14" s="199" t="s">
        <v>42</v>
      </c>
      <c r="ATU14" s="199"/>
      <c r="ATV14" s="199"/>
      <c r="ATW14" s="199"/>
      <c r="ATX14" s="102"/>
      <c r="ATY14" s="102"/>
      <c r="ATZ14" s="198" t="s">
        <v>43</v>
      </c>
      <c r="AUA14" s="198"/>
      <c r="AUB14" s="198"/>
      <c r="AUC14" s="198"/>
      <c r="AUD14" s="82"/>
      <c r="AUE14" s="82"/>
      <c r="AUF14" s="199" t="s">
        <v>44</v>
      </c>
      <c r="AUG14" s="199"/>
      <c r="AUH14" s="199"/>
      <c r="AUI14" s="199"/>
      <c r="AUJ14" s="102"/>
      <c r="AUK14" s="102"/>
      <c r="AUL14" s="198" t="s">
        <v>45</v>
      </c>
      <c r="AUM14" s="198"/>
      <c r="AUN14" s="198"/>
      <c r="AUO14" s="198"/>
      <c r="AUP14" s="82"/>
      <c r="AUQ14" s="82"/>
      <c r="AUR14" s="199" t="s">
        <v>46</v>
      </c>
      <c r="AUS14" s="199"/>
      <c r="AUT14" s="199"/>
      <c r="AUU14" s="199"/>
      <c r="AUV14" s="102"/>
      <c r="AUW14" s="102"/>
      <c r="AUX14" s="198" t="s">
        <v>47</v>
      </c>
      <c r="AUY14" s="198"/>
      <c r="AUZ14" s="198"/>
      <c r="AVA14" s="198"/>
      <c r="AVB14" s="82"/>
      <c r="AVC14" s="82"/>
      <c r="AVD14" s="199" t="s">
        <v>48</v>
      </c>
      <c r="AVE14" s="199"/>
      <c r="AVF14" s="199"/>
      <c r="AVG14" s="199"/>
      <c r="AVH14" s="102"/>
      <c r="AVI14" s="102"/>
      <c r="AVJ14" s="198" t="s">
        <v>49</v>
      </c>
      <c r="AVK14" s="198"/>
      <c r="AVL14" s="198"/>
      <c r="AVM14" s="198"/>
      <c r="AVN14" s="82"/>
      <c r="AVO14" s="82"/>
      <c r="AVP14" s="82"/>
      <c r="AVQ14" s="83"/>
      <c r="AVR14" s="81"/>
      <c r="AVS14" s="82"/>
      <c r="AVT14" s="82"/>
      <c r="AVU14" s="82"/>
      <c r="AVV14" s="198" t="s">
        <v>41</v>
      </c>
      <c r="AVW14" s="198"/>
      <c r="AVX14" s="198"/>
      <c r="AVY14" s="198"/>
      <c r="AVZ14" s="82"/>
      <c r="AWA14" s="82"/>
      <c r="AWB14" s="199" t="s">
        <v>42</v>
      </c>
      <c r="AWC14" s="199"/>
      <c r="AWD14" s="199"/>
      <c r="AWE14" s="199"/>
      <c r="AWF14" s="102"/>
      <c r="AWG14" s="102"/>
      <c r="AWH14" s="198" t="s">
        <v>43</v>
      </c>
      <c r="AWI14" s="198"/>
      <c r="AWJ14" s="198"/>
      <c r="AWK14" s="198"/>
      <c r="AWL14" s="82"/>
      <c r="AWM14" s="82"/>
      <c r="AWN14" s="199" t="s">
        <v>44</v>
      </c>
      <c r="AWO14" s="199"/>
      <c r="AWP14" s="199"/>
      <c r="AWQ14" s="199"/>
      <c r="AWR14" s="102"/>
      <c r="AWS14" s="102"/>
      <c r="AWT14" s="198" t="s">
        <v>45</v>
      </c>
      <c r="AWU14" s="198"/>
      <c r="AWV14" s="198"/>
      <c r="AWW14" s="198"/>
      <c r="AWX14" s="82"/>
      <c r="AWY14" s="82"/>
      <c r="AWZ14" s="199" t="s">
        <v>46</v>
      </c>
      <c r="AXA14" s="199"/>
      <c r="AXB14" s="199"/>
      <c r="AXC14" s="199"/>
      <c r="AXD14" s="102"/>
      <c r="AXE14" s="102"/>
      <c r="AXF14" s="198" t="s">
        <v>47</v>
      </c>
      <c r="AXG14" s="198"/>
      <c r="AXH14" s="198"/>
      <c r="AXI14" s="198"/>
      <c r="AXJ14" s="82"/>
      <c r="AXK14" s="82"/>
      <c r="AXL14" s="199" t="s">
        <v>48</v>
      </c>
      <c r="AXM14" s="199"/>
      <c r="AXN14" s="199"/>
      <c r="AXO14" s="199"/>
      <c r="AXP14" s="102"/>
      <c r="AXQ14" s="102"/>
      <c r="AXR14" s="198" t="s">
        <v>49</v>
      </c>
      <c r="AXS14" s="198"/>
      <c r="AXT14" s="198"/>
      <c r="AXU14" s="198"/>
      <c r="AXV14" s="82"/>
      <c r="AXW14" s="82"/>
      <c r="AXX14" s="82"/>
      <c r="AXY14" s="83"/>
      <c r="AXZ14" s="81"/>
      <c r="AYA14" s="82"/>
      <c r="AYB14" s="82"/>
      <c r="AYC14" s="82"/>
      <c r="AYD14" s="198" t="s">
        <v>41</v>
      </c>
      <c r="AYE14" s="198"/>
      <c r="AYF14" s="198"/>
      <c r="AYG14" s="198"/>
      <c r="AYH14" s="82"/>
      <c r="AYI14" s="82"/>
      <c r="AYJ14" s="199" t="s">
        <v>42</v>
      </c>
      <c r="AYK14" s="199"/>
      <c r="AYL14" s="199"/>
      <c r="AYM14" s="199"/>
      <c r="AYN14" s="102"/>
      <c r="AYO14" s="102"/>
      <c r="AYP14" s="198" t="s">
        <v>43</v>
      </c>
      <c r="AYQ14" s="198"/>
      <c r="AYR14" s="198"/>
      <c r="AYS14" s="198"/>
      <c r="AYT14" s="82"/>
      <c r="AYU14" s="82"/>
      <c r="AYV14" s="199" t="s">
        <v>44</v>
      </c>
      <c r="AYW14" s="199"/>
      <c r="AYX14" s="199"/>
      <c r="AYY14" s="199"/>
      <c r="AYZ14" s="102"/>
      <c r="AZA14" s="102"/>
      <c r="AZB14" s="198" t="s">
        <v>45</v>
      </c>
      <c r="AZC14" s="198"/>
      <c r="AZD14" s="198"/>
      <c r="AZE14" s="198"/>
      <c r="AZF14" s="82"/>
      <c r="AZG14" s="82"/>
      <c r="AZH14" s="199" t="s">
        <v>46</v>
      </c>
      <c r="AZI14" s="199"/>
      <c r="AZJ14" s="199"/>
      <c r="AZK14" s="199"/>
      <c r="AZL14" s="102"/>
      <c r="AZM14" s="102"/>
      <c r="AZN14" s="198" t="s">
        <v>47</v>
      </c>
      <c r="AZO14" s="198"/>
      <c r="AZP14" s="198"/>
      <c r="AZQ14" s="198"/>
      <c r="AZR14" s="82"/>
      <c r="AZS14" s="82"/>
      <c r="AZT14" s="199" t="s">
        <v>48</v>
      </c>
      <c r="AZU14" s="199"/>
      <c r="AZV14" s="199"/>
      <c r="AZW14" s="199"/>
      <c r="AZX14" s="102"/>
      <c r="AZY14" s="102"/>
      <c r="AZZ14" s="198" t="s">
        <v>49</v>
      </c>
      <c r="BAA14" s="198"/>
      <c r="BAB14" s="198"/>
      <c r="BAC14" s="198"/>
      <c r="BAD14" s="82"/>
      <c r="BAE14" s="82"/>
      <c r="BAF14" s="82"/>
      <c r="BAG14" s="83"/>
      <c r="BAH14" s="81"/>
      <c r="BAI14" s="82"/>
      <c r="BAJ14" s="82"/>
      <c r="BAK14" s="82"/>
      <c r="BAL14" s="198" t="s">
        <v>41</v>
      </c>
      <c r="BAM14" s="198"/>
      <c r="BAN14" s="198"/>
      <c r="BAO14" s="198"/>
      <c r="BAP14" s="82"/>
      <c r="BAQ14" s="82"/>
      <c r="BAR14" s="199" t="s">
        <v>42</v>
      </c>
      <c r="BAS14" s="199"/>
      <c r="BAT14" s="199"/>
      <c r="BAU14" s="199"/>
      <c r="BAV14" s="102"/>
      <c r="BAW14" s="102"/>
      <c r="BAX14" s="198" t="s">
        <v>43</v>
      </c>
      <c r="BAY14" s="198"/>
      <c r="BAZ14" s="198"/>
      <c r="BBA14" s="198"/>
      <c r="BBB14" s="82"/>
      <c r="BBC14" s="82"/>
      <c r="BBD14" s="199" t="s">
        <v>44</v>
      </c>
      <c r="BBE14" s="199"/>
      <c r="BBF14" s="199"/>
      <c r="BBG14" s="199"/>
      <c r="BBH14" s="102"/>
      <c r="BBI14" s="102"/>
      <c r="BBJ14" s="198" t="s">
        <v>45</v>
      </c>
      <c r="BBK14" s="198"/>
      <c r="BBL14" s="198"/>
      <c r="BBM14" s="198"/>
      <c r="BBN14" s="82"/>
      <c r="BBO14" s="82"/>
      <c r="BBP14" s="199" t="s">
        <v>46</v>
      </c>
      <c r="BBQ14" s="199"/>
      <c r="BBR14" s="199"/>
      <c r="BBS14" s="199"/>
      <c r="BBT14" s="102"/>
      <c r="BBU14" s="102"/>
      <c r="BBV14" s="198" t="s">
        <v>47</v>
      </c>
      <c r="BBW14" s="198"/>
      <c r="BBX14" s="198"/>
      <c r="BBY14" s="198"/>
      <c r="BBZ14" s="82"/>
      <c r="BCA14" s="82"/>
      <c r="BCB14" s="199" t="s">
        <v>48</v>
      </c>
      <c r="BCC14" s="199"/>
      <c r="BCD14" s="199"/>
      <c r="BCE14" s="199"/>
      <c r="BCF14" s="102"/>
      <c r="BCG14" s="102"/>
      <c r="BCH14" s="198" t="s">
        <v>49</v>
      </c>
      <c r="BCI14" s="198"/>
      <c r="BCJ14" s="198"/>
      <c r="BCK14" s="198"/>
      <c r="BCL14" s="82"/>
      <c r="BCM14" s="82"/>
      <c r="BCN14" s="82"/>
      <c r="BCO14" s="83"/>
      <c r="BCP14" s="81"/>
      <c r="BCQ14" s="82"/>
      <c r="BCR14" s="82"/>
      <c r="BCS14" s="82"/>
      <c r="BCT14" s="198" t="s">
        <v>41</v>
      </c>
      <c r="BCU14" s="198"/>
      <c r="BCV14" s="198"/>
      <c r="BCW14" s="198"/>
      <c r="BCX14" s="82"/>
      <c r="BCY14" s="82"/>
      <c r="BCZ14" s="199" t="s">
        <v>42</v>
      </c>
      <c r="BDA14" s="199"/>
      <c r="BDB14" s="199"/>
      <c r="BDC14" s="199"/>
      <c r="BDD14" s="102"/>
      <c r="BDE14" s="102"/>
      <c r="BDF14" s="198" t="s">
        <v>43</v>
      </c>
      <c r="BDG14" s="198"/>
      <c r="BDH14" s="198"/>
      <c r="BDI14" s="198"/>
      <c r="BDJ14" s="82"/>
      <c r="BDK14" s="82"/>
      <c r="BDL14" s="199" t="s">
        <v>44</v>
      </c>
      <c r="BDM14" s="199"/>
      <c r="BDN14" s="199"/>
      <c r="BDO14" s="199"/>
      <c r="BDP14" s="102"/>
      <c r="BDQ14" s="102"/>
      <c r="BDR14" s="198" t="s">
        <v>45</v>
      </c>
      <c r="BDS14" s="198"/>
      <c r="BDT14" s="198"/>
      <c r="BDU14" s="198"/>
      <c r="BDV14" s="82"/>
      <c r="BDW14" s="82"/>
      <c r="BDX14" s="199" t="s">
        <v>46</v>
      </c>
      <c r="BDY14" s="199"/>
      <c r="BDZ14" s="199"/>
      <c r="BEA14" s="199"/>
      <c r="BEB14" s="102"/>
      <c r="BEC14" s="102"/>
      <c r="BED14" s="198" t="s">
        <v>47</v>
      </c>
      <c r="BEE14" s="198"/>
      <c r="BEF14" s="198"/>
      <c r="BEG14" s="198"/>
      <c r="BEH14" s="82"/>
      <c r="BEI14" s="82"/>
      <c r="BEJ14" s="199" t="s">
        <v>48</v>
      </c>
      <c r="BEK14" s="199"/>
      <c r="BEL14" s="199"/>
      <c r="BEM14" s="199"/>
      <c r="BEN14" s="102"/>
      <c r="BEO14" s="102"/>
      <c r="BEP14" s="198" t="s">
        <v>49</v>
      </c>
      <c r="BEQ14" s="198"/>
      <c r="BER14" s="198"/>
      <c r="BES14" s="198"/>
      <c r="BET14" s="82"/>
      <c r="BEU14" s="82"/>
      <c r="BEV14" s="82"/>
      <c r="BEW14" s="83"/>
      <c r="BEX14" s="81"/>
      <c r="BEY14" s="82"/>
      <c r="BEZ14" s="82"/>
      <c r="BFA14" s="82"/>
      <c r="BFB14" s="198" t="s">
        <v>41</v>
      </c>
      <c r="BFC14" s="198"/>
      <c r="BFD14" s="198"/>
      <c r="BFE14" s="198"/>
      <c r="BFF14" s="82"/>
      <c r="BFG14" s="82"/>
      <c r="BFH14" s="199" t="s">
        <v>42</v>
      </c>
      <c r="BFI14" s="199"/>
      <c r="BFJ14" s="199"/>
      <c r="BFK14" s="199"/>
      <c r="BFL14" s="102"/>
      <c r="BFM14" s="102"/>
      <c r="BFN14" s="198" t="s">
        <v>43</v>
      </c>
      <c r="BFO14" s="198"/>
      <c r="BFP14" s="198"/>
      <c r="BFQ14" s="198"/>
      <c r="BFR14" s="82"/>
      <c r="BFS14" s="82"/>
      <c r="BFT14" s="199" t="s">
        <v>44</v>
      </c>
      <c r="BFU14" s="199"/>
      <c r="BFV14" s="199"/>
      <c r="BFW14" s="199"/>
      <c r="BFX14" s="102"/>
      <c r="BFY14" s="102"/>
      <c r="BFZ14" s="198" t="s">
        <v>45</v>
      </c>
      <c r="BGA14" s="198"/>
      <c r="BGB14" s="198"/>
      <c r="BGC14" s="198"/>
      <c r="BGD14" s="82"/>
      <c r="BGE14" s="82"/>
      <c r="BGF14" s="199" t="s">
        <v>46</v>
      </c>
      <c r="BGG14" s="199"/>
      <c r="BGH14" s="199"/>
      <c r="BGI14" s="199"/>
      <c r="BGJ14" s="102"/>
      <c r="BGK14" s="102"/>
      <c r="BGL14" s="198" t="s">
        <v>47</v>
      </c>
      <c r="BGM14" s="198"/>
      <c r="BGN14" s="198"/>
      <c r="BGO14" s="198"/>
      <c r="BGP14" s="82"/>
      <c r="BGQ14" s="82"/>
      <c r="BGR14" s="199" t="s">
        <v>48</v>
      </c>
      <c r="BGS14" s="199"/>
      <c r="BGT14" s="199"/>
      <c r="BGU14" s="199"/>
      <c r="BGV14" s="102"/>
      <c r="BGW14" s="102"/>
      <c r="BGX14" s="198" t="s">
        <v>49</v>
      </c>
      <c r="BGY14" s="198"/>
      <c r="BGZ14" s="198"/>
      <c r="BHA14" s="198"/>
      <c r="BHB14" s="82"/>
      <c r="BHC14" s="82"/>
      <c r="BHD14" s="82"/>
      <c r="BHE14" s="83"/>
      <c r="BHF14" s="81"/>
      <c r="BHG14" s="82"/>
      <c r="BHH14" s="82"/>
      <c r="BHI14" s="82"/>
      <c r="BHJ14" s="198" t="s">
        <v>41</v>
      </c>
      <c r="BHK14" s="198"/>
      <c r="BHL14" s="198"/>
      <c r="BHM14" s="198"/>
      <c r="BHN14" s="82"/>
      <c r="BHO14" s="82"/>
      <c r="BHP14" s="199" t="s">
        <v>42</v>
      </c>
      <c r="BHQ14" s="199"/>
      <c r="BHR14" s="199"/>
      <c r="BHS14" s="199"/>
      <c r="BHT14" s="102"/>
      <c r="BHU14" s="102"/>
      <c r="BHV14" s="198" t="s">
        <v>43</v>
      </c>
      <c r="BHW14" s="198"/>
      <c r="BHX14" s="198"/>
      <c r="BHY14" s="198"/>
      <c r="BHZ14" s="82"/>
      <c r="BIA14" s="82"/>
      <c r="BIB14" s="199" t="s">
        <v>44</v>
      </c>
      <c r="BIC14" s="199"/>
      <c r="BID14" s="199"/>
      <c r="BIE14" s="199"/>
      <c r="BIF14" s="102"/>
      <c r="BIG14" s="102"/>
      <c r="BIH14" s="198" t="s">
        <v>45</v>
      </c>
      <c r="BII14" s="198"/>
      <c r="BIJ14" s="198"/>
      <c r="BIK14" s="198"/>
      <c r="BIL14" s="82"/>
      <c r="BIM14" s="82"/>
      <c r="BIN14" s="199" t="s">
        <v>46</v>
      </c>
      <c r="BIO14" s="199"/>
      <c r="BIP14" s="199"/>
      <c r="BIQ14" s="199"/>
      <c r="BIR14" s="102"/>
      <c r="BIS14" s="102"/>
      <c r="BIT14" s="198" t="s">
        <v>47</v>
      </c>
      <c r="BIU14" s="198"/>
      <c r="BIV14" s="198"/>
      <c r="BIW14" s="198"/>
      <c r="BIX14" s="82"/>
      <c r="BIY14" s="82"/>
      <c r="BIZ14" s="199" t="s">
        <v>48</v>
      </c>
      <c r="BJA14" s="199"/>
      <c r="BJB14" s="199"/>
      <c r="BJC14" s="199"/>
      <c r="BJD14" s="102"/>
      <c r="BJE14" s="102"/>
      <c r="BJF14" s="198" t="s">
        <v>49</v>
      </c>
      <c r="BJG14" s="198"/>
      <c r="BJH14" s="198"/>
      <c r="BJI14" s="19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0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1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0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6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0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0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0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1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0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6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0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6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0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0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0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6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0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0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6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0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0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1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0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1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0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1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0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1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0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1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0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200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200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1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200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200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6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200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1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200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200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6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200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1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200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1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200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200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200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1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200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200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200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1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200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200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1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200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200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200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1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2" t="s">
        <v>55</v>
      </c>
      <c r="D95" s="20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4" t="s">
        <v>56</v>
      </c>
      <c r="D97" s="19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6"/>
      <c r="D98" s="19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69" activePane="bottomLeft" state="frozen"/>
      <selection activeCell="BC13" sqref="BC13"/>
      <selection pane="bottomLeft" activeCell="E184" sqref="E184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41" priority="28" operator="greaterThan">
      <formula>60</formula>
    </cfRule>
  </conditionalFormatting>
  <conditionalFormatting sqref="C312">
    <cfRule type="cellIs" dxfId="40" priority="27" operator="greaterThan">
      <formula>60</formula>
    </cfRule>
  </conditionalFormatting>
  <conditionalFormatting sqref="C300">
    <cfRule type="cellIs" dxfId="39" priority="26" operator="greaterThan">
      <formula>60</formula>
    </cfRule>
  </conditionalFormatting>
  <conditionalFormatting sqref="C288">
    <cfRule type="cellIs" dxfId="38" priority="25" operator="greaterThan">
      <formula>60</formula>
    </cfRule>
  </conditionalFormatting>
  <conditionalFormatting sqref="C276">
    <cfRule type="cellIs" dxfId="37" priority="24" operator="greaterThan">
      <formula>60</formula>
    </cfRule>
  </conditionalFormatting>
  <conditionalFormatting sqref="C264">
    <cfRule type="cellIs" dxfId="36" priority="23" operator="greaterThan">
      <formula>60</formula>
    </cfRule>
  </conditionalFormatting>
  <conditionalFormatting sqref="C252">
    <cfRule type="cellIs" dxfId="35" priority="22" operator="greaterThan">
      <formula>60</formula>
    </cfRule>
  </conditionalFormatting>
  <conditionalFormatting sqref="C240">
    <cfRule type="cellIs" dxfId="34" priority="21" operator="greaterThan">
      <formula>60</formula>
    </cfRule>
  </conditionalFormatting>
  <conditionalFormatting sqref="C228">
    <cfRule type="cellIs" dxfId="33" priority="20" operator="greaterThan">
      <formula>60</formula>
    </cfRule>
  </conditionalFormatting>
  <conditionalFormatting sqref="C216">
    <cfRule type="cellIs" dxfId="32" priority="19" operator="greaterThan">
      <formula>60</formula>
    </cfRule>
  </conditionalFormatting>
  <conditionalFormatting sqref="C204">
    <cfRule type="cellIs" dxfId="31" priority="18" operator="greaterThan">
      <formula>60</formula>
    </cfRule>
  </conditionalFormatting>
  <conditionalFormatting sqref="C192">
    <cfRule type="cellIs" dxfId="30" priority="17" operator="greaterThan">
      <formula>60</formula>
    </cfRule>
  </conditionalFormatting>
  <conditionalFormatting sqref="C180">
    <cfRule type="cellIs" dxfId="29" priority="16" operator="greaterThan">
      <formula>60</formula>
    </cfRule>
  </conditionalFormatting>
  <conditionalFormatting sqref="C168">
    <cfRule type="cellIs" dxfId="28" priority="15" operator="greaterThan">
      <formula>60</formula>
    </cfRule>
  </conditionalFormatting>
  <conditionalFormatting sqref="C156">
    <cfRule type="cellIs" dxfId="27" priority="14" operator="greaterThan">
      <formula>60</formula>
    </cfRule>
  </conditionalFormatting>
  <conditionalFormatting sqref="C144">
    <cfRule type="cellIs" dxfId="26" priority="13" operator="greaterThan">
      <formula>60</formula>
    </cfRule>
  </conditionalFormatting>
  <conditionalFormatting sqref="C132">
    <cfRule type="cellIs" dxfId="25" priority="12" operator="greaterThan">
      <formula>60</formula>
    </cfRule>
  </conditionalFormatting>
  <conditionalFormatting sqref="C120">
    <cfRule type="cellIs" dxfId="24" priority="11" operator="greaterThan">
      <formula>60</formula>
    </cfRule>
  </conditionalFormatting>
  <conditionalFormatting sqref="C108">
    <cfRule type="cellIs" dxfId="23" priority="10" operator="greaterThan">
      <formula>60</formula>
    </cfRule>
  </conditionalFormatting>
  <conditionalFormatting sqref="C96">
    <cfRule type="cellIs" dxfId="22" priority="9" operator="greaterThan">
      <formula>60</formula>
    </cfRule>
  </conditionalFormatting>
  <conditionalFormatting sqref="C84">
    <cfRule type="cellIs" dxfId="21" priority="8" operator="greaterThan">
      <formula>60</formula>
    </cfRule>
  </conditionalFormatting>
  <conditionalFormatting sqref="C72">
    <cfRule type="cellIs" dxfId="20" priority="7" operator="greaterThan">
      <formula>60</formula>
    </cfRule>
  </conditionalFormatting>
  <conditionalFormatting sqref="C60">
    <cfRule type="cellIs" dxfId="19" priority="6" operator="greaterThan">
      <formula>60</formula>
    </cfRule>
  </conditionalFormatting>
  <conditionalFormatting sqref="C48">
    <cfRule type="cellIs" dxfId="18" priority="5" operator="greaterThan">
      <formula>60</formula>
    </cfRule>
  </conditionalFormatting>
  <conditionalFormatting sqref="C36">
    <cfRule type="cellIs" dxfId="17" priority="3" operator="greaterThan">
      <formula>60</formula>
    </cfRule>
  </conditionalFormatting>
  <conditionalFormatting sqref="C24">
    <cfRule type="cellIs" dxfId="16" priority="2" operator="greaterThan">
      <formula>60</formula>
    </cfRule>
  </conditionalFormatting>
  <conditionalFormatting sqref="C12">
    <cfRule type="cellIs" dxfId="1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57"/>
  <sheetViews>
    <sheetView showGridLines="0" tabSelected="1" zoomScaleNormal="100" zoomScaleSheetLayoutView="98" workbookViewId="0">
      <pane ySplit="1" topLeftCell="A2" activePane="bottomLeft" state="frozen"/>
      <selection pane="bottomLeft" activeCell="E21" sqref="E2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13</v>
      </c>
      <c r="D2" s="137"/>
      <c r="E2" s="130" t="s">
        <v>58</v>
      </c>
      <c r="F2" s="131" t="s">
        <v>138</v>
      </c>
      <c r="G2" s="132" t="s">
        <v>70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29"/>
      <c r="G4" s="23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0</v>
      </c>
      <c r="D12" s="135" t="str">
        <f xml:space="preserve"> setValueToTime(C12)</f>
        <v/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12</v>
      </c>
      <c r="D14" s="137"/>
      <c r="E14" s="130" t="s">
        <v>58</v>
      </c>
      <c r="F14" s="131" t="s">
        <v>127</v>
      </c>
      <c r="G14" s="132" t="s">
        <v>74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40.5" x14ac:dyDescent="0.3">
      <c r="B16" s="40" t="s">
        <v>78</v>
      </c>
      <c r="C16" s="41">
        <v>5</v>
      </c>
      <c r="D16" s="125" t="str">
        <f xml:space="preserve"> IF(C16="","",setValueToTime(C16))</f>
        <v xml:space="preserve"> 25 min</v>
      </c>
      <c r="E16" s="42" t="s">
        <v>207</v>
      </c>
      <c r="F16" s="229"/>
      <c r="G16" s="230"/>
      <c r="H16" s="152"/>
    </row>
    <row r="17" spans="2:8" s="43" customFormat="1" ht="27" x14ac:dyDescent="0.3">
      <c r="B17" s="44" t="s">
        <v>97</v>
      </c>
      <c r="C17" s="45">
        <v>6</v>
      </c>
      <c r="D17" s="126" t="str">
        <f t="shared" ref="D17:D23" si="1" xml:space="preserve"> IF(C17="","",setValueToTime(C17))</f>
        <v xml:space="preserve"> 30 min</v>
      </c>
      <c r="E17" s="46" t="s">
        <v>208</v>
      </c>
      <c r="F17" s="221"/>
      <c r="G17" s="222"/>
      <c r="H17" s="152"/>
    </row>
    <row r="18" spans="2:8" s="43" customFormat="1" ht="27" x14ac:dyDescent="0.3">
      <c r="B18" s="44" t="s">
        <v>109</v>
      </c>
      <c r="C18" s="45">
        <v>15</v>
      </c>
      <c r="D18" s="126" t="str">
        <f t="shared" si="1"/>
        <v>1h 15 min</v>
      </c>
      <c r="E18" s="46" t="s">
        <v>209</v>
      </c>
      <c r="F18" s="221"/>
      <c r="G18" s="222"/>
      <c r="H18" s="152"/>
    </row>
    <row r="19" spans="2:8" s="43" customFormat="1" ht="27" x14ac:dyDescent="0.3">
      <c r="B19" s="44" t="s">
        <v>81</v>
      </c>
      <c r="C19" s="45">
        <v>5</v>
      </c>
      <c r="D19" s="126" t="str">
        <f t="shared" si="1"/>
        <v xml:space="preserve"> 25 min</v>
      </c>
      <c r="E19" s="46" t="s">
        <v>210</v>
      </c>
      <c r="F19" s="221"/>
      <c r="G19" s="222"/>
      <c r="H19" s="152"/>
    </row>
    <row r="20" spans="2:8" s="43" customFormat="1" ht="27" x14ac:dyDescent="0.3">
      <c r="B20" s="45" t="s">
        <v>110</v>
      </c>
      <c r="C20" s="45">
        <v>4</v>
      </c>
      <c r="D20" s="127" t="str">
        <f t="shared" si="1"/>
        <v xml:space="preserve"> 20 min</v>
      </c>
      <c r="E20" s="238" t="s">
        <v>211</v>
      </c>
      <c r="F20" s="221"/>
      <c r="G20" s="222"/>
      <c r="H20" s="152"/>
    </row>
    <row r="21" spans="2:8" s="43" customFormat="1" ht="27" x14ac:dyDescent="0.3">
      <c r="B21" s="45" t="s">
        <v>97</v>
      </c>
      <c r="C21" s="45">
        <v>3</v>
      </c>
      <c r="D21" s="127" t="str">
        <f t="shared" si="1"/>
        <v xml:space="preserve"> 15 min</v>
      </c>
      <c r="E21" s="46" t="s">
        <v>212</v>
      </c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11</v>
      </c>
      <c r="D26" s="137"/>
      <c r="E26" s="130" t="s">
        <v>58</v>
      </c>
      <c r="F26" s="131" t="s">
        <v>127</v>
      </c>
      <c r="G26" s="132" t="s">
        <v>70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ht="27" x14ac:dyDescent="0.3">
      <c r="B28" s="40" t="s">
        <v>97</v>
      </c>
      <c r="C28" s="41">
        <v>5</v>
      </c>
      <c r="D28" s="125" t="str">
        <f xml:space="preserve"> IF(C28="","",setValueToTime(C28))</f>
        <v xml:space="preserve"> 25 min</v>
      </c>
      <c r="E28" s="42" t="s">
        <v>202</v>
      </c>
      <c r="F28" s="229"/>
      <c r="G28" s="230"/>
      <c r="H28" s="152"/>
    </row>
    <row r="29" spans="2:8" s="43" customFormat="1" ht="27" x14ac:dyDescent="0.3">
      <c r="B29" s="44" t="s">
        <v>97</v>
      </c>
      <c r="C29" s="45">
        <v>5</v>
      </c>
      <c r="D29" s="126" t="str">
        <f t="shared" ref="D29:D35" si="2" xml:space="preserve"> IF(C29="","",setValueToTime(C29))</f>
        <v xml:space="preserve"> 25 min</v>
      </c>
      <c r="E29" s="46" t="s">
        <v>203</v>
      </c>
      <c r="F29" s="236" t="s">
        <v>204</v>
      </c>
      <c r="G29" s="222"/>
      <c r="H29" s="152"/>
    </row>
    <row r="30" spans="2:8" s="43" customFormat="1" ht="54" x14ac:dyDescent="0.3">
      <c r="B30" s="44" t="s">
        <v>120</v>
      </c>
      <c r="C30" s="45">
        <v>22</v>
      </c>
      <c r="D30" s="126" t="str">
        <f t="shared" si="2"/>
        <v>1h 50 min</v>
      </c>
      <c r="E30" s="46" t="s">
        <v>205</v>
      </c>
      <c r="F30" s="221"/>
      <c r="G30" s="222"/>
      <c r="H30" s="152"/>
    </row>
    <row r="31" spans="2:8" s="43" customFormat="1" ht="27" x14ac:dyDescent="0.3">
      <c r="B31" s="44" t="s">
        <v>97</v>
      </c>
      <c r="C31" s="45">
        <v>6</v>
      </c>
      <c r="D31" s="126" t="str">
        <f t="shared" si="2"/>
        <v xml:space="preserve"> 30 min</v>
      </c>
      <c r="E31" s="46" t="s">
        <v>206</v>
      </c>
      <c r="F31" s="221"/>
      <c r="G31" s="222"/>
      <c r="H31" s="152"/>
    </row>
    <row r="32" spans="2:8" s="43" customFormat="1" ht="40.5" x14ac:dyDescent="0.3">
      <c r="B32" s="45" t="s">
        <v>78</v>
      </c>
      <c r="C32" s="45">
        <v>10</v>
      </c>
      <c r="D32" s="127" t="str">
        <f t="shared" si="2"/>
        <v xml:space="preserve"> 50 min</v>
      </c>
      <c r="E32" s="46" t="s">
        <v>207</v>
      </c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10</v>
      </c>
      <c r="D38" s="137"/>
      <c r="E38" s="130" t="s">
        <v>58</v>
      </c>
      <c r="F38" s="131" t="s">
        <v>128</v>
      </c>
      <c r="G38" s="132" t="s">
        <v>74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81</v>
      </c>
      <c r="C40" s="41">
        <v>6</v>
      </c>
      <c r="D40" s="125" t="str">
        <f xml:space="preserve"> IF(C40="","",setValueToTime(C40))</f>
        <v xml:space="preserve"> 30 min</v>
      </c>
      <c r="E40" s="42" t="s">
        <v>198</v>
      </c>
      <c r="F40" s="237" t="s">
        <v>201</v>
      </c>
      <c r="G40" s="230"/>
      <c r="H40" s="152"/>
    </row>
    <row r="41" spans="2:8" s="43" customFormat="1" ht="40.5" x14ac:dyDescent="0.3">
      <c r="B41" s="44" t="s">
        <v>76</v>
      </c>
      <c r="C41" s="45">
        <v>32</v>
      </c>
      <c r="D41" s="126" t="str">
        <f t="shared" ref="D41:D47" si="3" xml:space="preserve"> IF(C41="","",setValueToTime(C41))</f>
        <v>2h 40 min</v>
      </c>
      <c r="E41" s="46" t="s">
        <v>200</v>
      </c>
      <c r="F41" s="236" t="s">
        <v>199</v>
      </c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9</v>
      </c>
      <c r="D50" s="137"/>
      <c r="E50" s="130" t="s">
        <v>58</v>
      </c>
      <c r="F50" s="131" t="s">
        <v>116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97</v>
      </c>
      <c r="C52" s="41">
        <v>6</v>
      </c>
      <c r="D52" s="125" t="str">
        <f xml:space="preserve"> IF(C52="","",setValueToTime(C52))</f>
        <v xml:space="preserve"> 30 min</v>
      </c>
      <c r="E52" s="42" t="s">
        <v>195</v>
      </c>
      <c r="F52" s="237" t="s">
        <v>204</v>
      </c>
      <c r="G52" s="230"/>
      <c r="H52" s="152"/>
    </row>
    <row r="53" spans="2:8" s="43" customFormat="1" ht="54" x14ac:dyDescent="0.3">
      <c r="B53" s="44" t="s">
        <v>113</v>
      </c>
      <c r="C53" s="45">
        <v>22</v>
      </c>
      <c r="D53" s="126" t="str">
        <f t="shared" ref="D53:D59" si="4" xml:space="preserve"> IF(C53="","",setValueToTime(C53))</f>
        <v>1h 50 min</v>
      </c>
      <c r="E53" s="46" t="s">
        <v>197</v>
      </c>
      <c r="F53" s="221"/>
      <c r="G53" s="222"/>
      <c r="H53" s="152"/>
    </row>
    <row r="54" spans="2:8" s="43" customFormat="1" ht="27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196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8</v>
      </c>
      <c r="D62" s="137"/>
      <c r="E62" s="130" t="s">
        <v>58</v>
      </c>
      <c r="F62" s="131" t="s">
        <v>116</v>
      </c>
      <c r="G62" s="132" t="s">
        <v>70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40.5" x14ac:dyDescent="0.3">
      <c r="B64" s="40" t="s">
        <v>95</v>
      </c>
      <c r="C64" s="41">
        <v>4</v>
      </c>
      <c r="D64" s="125" t="str">
        <f xml:space="preserve"> IF(C64="","",setValueToTime(C64))</f>
        <v xml:space="preserve"> 20 min</v>
      </c>
      <c r="E64" s="42" t="s">
        <v>190</v>
      </c>
      <c r="F64" s="229"/>
      <c r="G64" s="230"/>
      <c r="H64" s="152"/>
    </row>
    <row r="65" spans="2:8" s="43" customFormat="1" ht="27" x14ac:dyDescent="0.3">
      <c r="B65" s="44" t="s">
        <v>110</v>
      </c>
      <c r="C65" s="45">
        <v>6</v>
      </c>
      <c r="D65" s="126" t="str">
        <f t="shared" ref="D65:D71" si="5" xml:space="preserve"> IF(C65="","",setValueToTime(C65))</f>
        <v xml:space="preserve"> 30 min</v>
      </c>
      <c r="E65" s="46" t="s">
        <v>191</v>
      </c>
      <c r="F65" s="221"/>
      <c r="G65" s="222"/>
      <c r="H65" s="152"/>
    </row>
    <row r="66" spans="2:8" s="43" customFormat="1" ht="67.5" customHeight="1" x14ac:dyDescent="0.3">
      <c r="B66" s="44" t="s">
        <v>110</v>
      </c>
      <c r="C66" s="45">
        <v>10</v>
      </c>
      <c r="D66" s="126" t="str">
        <f t="shared" si="5"/>
        <v xml:space="preserve"> 50 min</v>
      </c>
      <c r="E66" s="46" t="s">
        <v>192</v>
      </c>
      <c r="F66" s="236" t="s">
        <v>193</v>
      </c>
      <c r="G66" s="222"/>
      <c r="H66" s="152"/>
    </row>
    <row r="67" spans="2:8" s="43" customFormat="1" ht="27" x14ac:dyDescent="0.3">
      <c r="B67" s="44" t="s">
        <v>97</v>
      </c>
      <c r="C67" s="45">
        <v>6</v>
      </c>
      <c r="D67" s="126" t="str">
        <f t="shared" si="5"/>
        <v xml:space="preserve"> 30 min</v>
      </c>
      <c r="E67" s="46" t="s">
        <v>194</v>
      </c>
      <c r="F67" s="221"/>
      <c r="G67" s="222"/>
      <c r="H67" s="152"/>
    </row>
    <row r="68" spans="2:8" s="43" customFormat="1" ht="40.5" x14ac:dyDescent="0.3">
      <c r="B68" s="45" t="s">
        <v>77</v>
      </c>
      <c r="C68" s="45">
        <v>22</v>
      </c>
      <c r="D68" s="127" t="str">
        <f t="shared" si="5"/>
        <v>1h 50 min</v>
      </c>
      <c r="E68" s="46" t="s">
        <v>114</v>
      </c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7</v>
      </c>
      <c r="D74" s="137"/>
      <c r="E74" s="130" t="s">
        <v>58</v>
      </c>
      <c r="F74" s="131" t="s">
        <v>117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x14ac:dyDescent="0.3">
      <c r="B76" s="40" t="s">
        <v>102</v>
      </c>
      <c r="C76" s="41">
        <v>6</v>
      </c>
      <c r="D76" s="125" t="str">
        <f xml:space="preserve"> IF(C76="","",setValueToTime(C76))</f>
        <v xml:space="preserve"> 30 min</v>
      </c>
      <c r="E76" s="42" t="s">
        <v>187</v>
      </c>
      <c r="F76" s="229"/>
      <c r="G76" s="230"/>
      <c r="H76" s="152"/>
    </row>
    <row r="77" spans="2:8" s="43" customFormat="1" ht="27" x14ac:dyDescent="0.3">
      <c r="B77" s="44" t="s">
        <v>110</v>
      </c>
      <c r="C77" s="45">
        <v>23</v>
      </c>
      <c r="D77" s="126" t="str">
        <f t="shared" ref="D77:D83" si="6" xml:space="preserve"> IF(C77="","",setValueToTime(C77))</f>
        <v>1h 55 min</v>
      </c>
      <c r="E77" s="46" t="s">
        <v>188</v>
      </c>
      <c r="F77" s="236" t="s">
        <v>189</v>
      </c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29</v>
      </c>
      <c r="D84" s="135" t="str">
        <f xml:space="preserve"> setValueToTime(C84)</f>
        <v>2h 25 min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6</v>
      </c>
      <c r="D86" s="137"/>
      <c r="E86" s="130" t="s">
        <v>58</v>
      </c>
      <c r="F86" s="131" t="s">
        <v>117</v>
      </c>
      <c r="G86" s="132" t="s">
        <v>70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97</v>
      </c>
      <c r="C88" s="41">
        <v>6</v>
      </c>
      <c r="D88" s="125" t="str">
        <f xml:space="preserve"> IF(C88="","",setValueToTime(C88))</f>
        <v xml:space="preserve"> 30 min</v>
      </c>
      <c r="E88" s="42" t="s">
        <v>180</v>
      </c>
      <c r="F88" s="229"/>
      <c r="G88" s="230"/>
      <c r="H88" s="152"/>
    </row>
    <row r="89" spans="2:8" s="43" customFormat="1" ht="27" x14ac:dyDescent="0.3">
      <c r="B89" s="44" t="s">
        <v>83</v>
      </c>
      <c r="C89" s="45">
        <v>10</v>
      </c>
      <c r="D89" s="126" t="str">
        <f t="shared" ref="D89:D95" si="7" xml:space="preserve"> IF(C89="","",setValueToTime(C89))</f>
        <v xml:space="preserve"> 50 min</v>
      </c>
      <c r="E89" s="46" t="s">
        <v>182</v>
      </c>
      <c r="F89" s="221"/>
      <c r="G89" s="222"/>
      <c r="H89" s="152"/>
    </row>
    <row r="90" spans="2:8" s="43" customFormat="1" ht="27" x14ac:dyDescent="0.3">
      <c r="B90" s="44" t="s">
        <v>97</v>
      </c>
      <c r="C90" s="45">
        <v>6</v>
      </c>
      <c r="D90" s="126" t="str">
        <f t="shared" si="7"/>
        <v xml:space="preserve"> 30 min</v>
      </c>
      <c r="E90" s="46" t="s">
        <v>181</v>
      </c>
      <c r="F90" s="221"/>
      <c r="G90" s="222"/>
      <c r="H90" s="152"/>
    </row>
    <row r="91" spans="2:8" s="43" customFormat="1" ht="40.5" x14ac:dyDescent="0.3">
      <c r="B91" s="44" t="s">
        <v>95</v>
      </c>
      <c r="C91" s="45">
        <v>6</v>
      </c>
      <c r="D91" s="126" t="str">
        <f t="shared" si="7"/>
        <v xml:space="preserve"> 30 min</v>
      </c>
      <c r="E91" s="46" t="s">
        <v>183</v>
      </c>
      <c r="F91" s="221"/>
      <c r="G91" s="222"/>
      <c r="H91" s="152"/>
    </row>
    <row r="92" spans="2:8" s="43" customFormat="1" ht="27" x14ac:dyDescent="0.3">
      <c r="B92" s="45" t="s">
        <v>97</v>
      </c>
      <c r="C92" s="45">
        <v>3</v>
      </c>
      <c r="D92" s="127" t="str">
        <f t="shared" si="7"/>
        <v xml:space="preserve"> 15 min</v>
      </c>
      <c r="E92" s="46" t="s">
        <v>184</v>
      </c>
      <c r="F92" s="221"/>
      <c r="G92" s="222"/>
      <c r="H92" s="152"/>
    </row>
    <row r="93" spans="2:8" s="43" customFormat="1" x14ac:dyDescent="0.3">
      <c r="B93" s="45" t="s">
        <v>101</v>
      </c>
      <c r="C93" s="45">
        <v>3</v>
      </c>
      <c r="D93" s="127" t="str">
        <f t="shared" si="7"/>
        <v xml:space="preserve"> 15 min</v>
      </c>
      <c r="E93" s="46" t="s">
        <v>185</v>
      </c>
      <c r="F93" s="221"/>
      <c r="G93" s="222"/>
      <c r="H93" s="152"/>
    </row>
    <row r="94" spans="2:8" s="43" customFormat="1" ht="27" x14ac:dyDescent="0.3">
      <c r="B94" s="45" t="s">
        <v>100</v>
      </c>
      <c r="C94" s="45">
        <v>4</v>
      </c>
      <c r="D94" s="127" t="str">
        <f t="shared" si="7"/>
        <v xml:space="preserve"> 20 min</v>
      </c>
      <c r="E94" s="46" t="s">
        <v>186</v>
      </c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32"/>
      <c r="G96" s="233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5</v>
      </c>
      <c r="D98" s="137"/>
      <c r="E98" s="130" t="s">
        <v>58</v>
      </c>
      <c r="F98" s="131" t="s">
        <v>94</v>
      </c>
      <c r="G98" s="132" t="s">
        <v>74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4" t="s">
        <v>62</v>
      </c>
      <c r="G99" s="235"/>
      <c r="H99" s="151"/>
    </row>
    <row r="100" spans="2:8" s="43" customFormat="1" x14ac:dyDescent="0.3">
      <c r="B100" s="40" t="s">
        <v>167</v>
      </c>
      <c r="C100" s="41">
        <v>4</v>
      </c>
      <c r="D100" s="125" t="str">
        <f xml:space="preserve"> IF(C100="","",setValueToTime(C100))</f>
        <v xml:space="preserve"> 20 min</v>
      </c>
      <c r="E100" s="42" t="s">
        <v>176</v>
      </c>
      <c r="F100" s="229"/>
      <c r="G100" s="230"/>
      <c r="H100" s="152"/>
    </row>
    <row r="101" spans="2:8" s="43" customFormat="1" ht="27" x14ac:dyDescent="0.3">
      <c r="B101" s="44" t="s">
        <v>82</v>
      </c>
      <c r="C101" s="45">
        <v>6</v>
      </c>
      <c r="D101" s="126" t="str">
        <f t="shared" ref="D101:D107" si="8" xml:space="preserve"> IF(C101="","",setValueToTime(C101))</f>
        <v xml:space="preserve"> 30 min</v>
      </c>
      <c r="E101" s="46" t="s">
        <v>177</v>
      </c>
      <c r="F101" s="221"/>
      <c r="G101" s="222"/>
      <c r="H101" s="152"/>
    </row>
    <row r="102" spans="2:8" s="43" customFormat="1" ht="27" x14ac:dyDescent="0.3">
      <c r="B102" s="44" t="s">
        <v>97</v>
      </c>
      <c r="C102" s="45">
        <v>20</v>
      </c>
      <c r="D102" s="126" t="str">
        <f t="shared" si="8"/>
        <v>1h 40 min</v>
      </c>
      <c r="E102" s="46" t="s">
        <v>179</v>
      </c>
      <c r="F102" s="221"/>
      <c r="G102" s="222"/>
      <c r="H102" s="152"/>
    </row>
    <row r="103" spans="2:8" s="43" customFormat="1" ht="27" x14ac:dyDescent="0.3">
      <c r="B103" s="44" t="s">
        <v>83</v>
      </c>
      <c r="C103" s="45">
        <v>8</v>
      </c>
      <c r="D103" s="126" t="str">
        <f t="shared" si="8"/>
        <v xml:space="preserve"> 40 min</v>
      </c>
      <c r="E103" s="46" t="s">
        <v>178</v>
      </c>
      <c r="F103" s="221"/>
      <c r="G103" s="22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32"/>
      <c r="G108" s="233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4</v>
      </c>
      <c r="D110" s="137"/>
      <c r="E110" s="130" t="s">
        <v>58</v>
      </c>
      <c r="F110" s="131" t="s">
        <v>94</v>
      </c>
      <c r="G110" s="132" t="s">
        <v>70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34" t="s">
        <v>62</v>
      </c>
      <c r="G111" s="235"/>
      <c r="H111" s="151"/>
    </row>
    <row r="112" spans="2:8" s="43" customFormat="1" ht="27" x14ac:dyDescent="0.3">
      <c r="B112" s="40" t="s">
        <v>82</v>
      </c>
      <c r="C112" s="41">
        <v>38</v>
      </c>
      <c r="D112" s="125" t="str">
        <f xml:space="preserve"> IF(C112="","",setValueToTime(C112))</f>
        <v>3h 10 min</v>
      </c>
      <c r="E112" s="42" t="s">
        <v>175</v>
      </c>
      <c r="F112" s="229"/>
      <c r="G112" s="230"/>
      <c r="H112" s="152"/>
    </row>
    <row r="113" spans="2:8" s="43" customFormat="1" ht="27" x14ac:dyDescent="0.3">
      <c r="B113" s="44" t="s">
        <v>97</v>
      </c>
      <c r="C113" s="45">
        <v>10</v>
      </c>
      <c r="D113" s="126" t="str">
        <f t="shared" ref="D113:D119" si="9" xml:space="preserve"> IF(C113="","",setValueToTime(C113))</f>
        <v xml:space="preserve"> 50 min</v>
      </c>
      <c r="E113" s="46" t="s">
        <v>174</v>
      </c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135" t="s">
        <v>64</v>
      </c>
      <c r="C120" s="66">
        <f>SUM(C112:C119)</f>
        <v>48</v>
      </c>
      <c r="D120" s="135" t="str">
        <f xml:space="preserve"> setValueToTime(C120)</f>
        <v>4h</v>
      </c>
      <c r="E120" s="96"/>
      <c r="F120" s="232"/>
      <c r="G120" s="233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3</v>
      </c>
      <c r="D122" s="137"/>
      <c r="E122" s="130" t="s">
        <v>58</v>
      </c>
      <c r="F122" s="131" t="s">
        <v>86</v>
      </c>
      <c r="G122" s="132" t="s">
        <v>74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34" t="s">
        <v>62</v>
      </c>
      <c r="G123" s="235"/>
      <c r="H123" s="151"/>
    </row>
    <row r="124" spans="2:8" s="43" customFormat="1" ht="27" x14ac:dyDescent="0.3">
      <c r="B124" s="40" t="s">
        <v>97</v>
      </c>
      <c r="C124" s="41">
        <v>12</v>
      </c>
      <c r="D124" s="125" t="str">
        <f xml:space="preserve"> IF(C124="","",setValueToTime(C124))</f>
        <v>1h</v>
      </c>
      <c r="E124" s="42" t="s">
        <v>132</v>
      </c>
      <c r="F124" s="229"/>
      <c r="G124" s="230"/>
      <c r="H124" s="152"/>
    </row>
    <row r="125" spans="2:8" s="43" customFormat="1" ht="27" x14ac:dyDescent="0.3">
      <c r="B125" s="44" t="s">
        <v>82</v>
      </c>
      <c r="C125" s="45">
        <v>26</v>
      </c>
      <c r="D125" s="126" t="str">
        <f t="shared" ref="D125:D131" si="10" xml:space="preserve"> IF(C125="","",setValueToTime(C125))</f>
        <v>2h 10 min</v>
      </c>
      <c r="E125" s="46" t="s">
        <v>173</v>
      </c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135" t="s">
        <v>64</v>
      </c>
      <c r="C132" s="66">
        <f>SUM(C124:C131)</f>
        <v>38</v>
      </c>
      <c r="D132" s="135" t="str">
        <f xml:space="preserve"> setValueToTime(C132)</f>
        <v>3h 10 min</v>
      </c>
      <c r="E132" s="96"/>
      <c r="F132" s="232"/>
      <c r="G132" s="233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2</v>
      </c>
      <c r="D134" s="137"/>
      <c r="E134" s="130" t="s">
        <v>58</v>
      </c>
      <c r="F134" s="131" t="s">
        <v>65</v>
      </c>
      <c r="G134" s="132" t="s">
        <v>74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34" t="s">
        <v>62</v>
      </c>
      <c r="G135" s="235"/>
      <c r="H135" s="151"/>
    </row>
    <row r="136" spans="2:8" s="43" customFormat="1" ht="27" x14ac:dyDescent="0.3">
      <c r="B136" s="40" t="s">
        <v>53</v>
      </c>
      <c r="C136" s="41">
        <v>19</v>
      </c>
      <c r="D136" s="125" t="str">
        <f xml:space="preserve"> IF(C136="","",setValueToTime(C136))</f>
        <v>1h 35 min</v>
      </c>
      <c r="E136" s="42" t="s">
        <v>88</v>
      </c>
      <c r="F136" s="229"/>
      <c r="G136" s="230"/>
      <c r="H136" s="152"/>
    </row>
    <row r="137" spans="2:8" s="43" customFormat="1" ht="27" x14ac:dyDescent="0.3">
      <c r="B137" s="44" t="s">
        <v>53</v>
      </c>
      <c r="C137" s="45">
        <v>19</v>
      </c>
      <c r="D137" s="126" t="str">
        <f t="shared" ref="D137:D143" si="11" xml:space="preserve"> IF(C137="","",setValueToTime(C137))</f>
        <v>1h 35 min</v>
      </c>
      <c r="E137" s="46" t="s">
        <v>169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32"/>
      <c r="G144" s="233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1</v>
      </c>
      <c r="D146" s="137"/>
      <c r="E146" s="130" t="s">
        <v>58</v>
      </c>
      <c r="F146" s="131" t="s">
        <v>65</v>
      </c>
      <c r="G146" s="132" t="s">
        <v>70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34" t="s">
        <v>62</v>
      </c>
      <c r="G147" s="235"/>
      <c r="H147" s="151"/>
    </row>
    <row r="148" spans="2:8" s="43" customFormat="1" ht="27" x14ac:dyDescent="0.3">
      <c r="B148" s="40" t="s">
        <v>71</v>
      </c>
      <c r="C148" s="41">
        <v>12</v>
      </c>
      <c r="D148" s="125" t="str">
        <f xml:space="preserve"> IF(C148="","",setValueToTime(C148))</f>
        <v>1h</v>
      </c>
      <c r="E148" s="42" t="s">
        <v>72</v>
      </c>
      <c r="F148" s="229"/>
      <c r="G148" s="230"/>
      <c r="H148" s="152"/>
    </row>
    <row r="149" spans="2:8" s="43" customFormat="1" ht="27" x14ac:dyDescent="0.3">
      <c r="B149" s="44" t="s">
        <v>71</v>
      </c>
      <c r="C149" s="45">
        <v>7</v>
      </c>
      <c r="D149" s="126" t="str">
        <f t="shared" ref="D149:D155" si="12" xml:space="preserve"> IF(C149="","",setValueToTime(C149))</f>
        <v xml:space="preserve"> 35 min</v>
      </c>
      <c r="E149" s="46" t="s">
        <v>73</v>
      </c>
      <c r="F149" s="221"/>
      <c r="G149" s="222"/>
      <c r="H149" s="152"/>
    </row>
    <row r="150" spans="2:8" s="43" customFormat="1" ht="27" x14ac:dyDescent="0.3">
      <c r="B150" s="44" t="s">
        <v>53</v>
      </c>
      <c r="C150" s="45">
        <v>8</v>
      </c>
      <c r="D150" s="126" t="str">
        <f t="shared" si="12"/>
        <v xml:space="preserve"> 40 min</v>
      </c>
      <c r="E150" s="46" t="s">
        <v>84</v>
      </c>
      <c r="F150" s="221"/>
      <c r="G150" s="222"/>
      <c r="H150" s="152"/>
    </row>
    <row r="151" spans="2:8" s="43" customFormat="1" ht="27" x14ac:dyDescent="0.3">
      <c r="B151" s="44" t="s">
        <v>53</v>
      </c>
      <c r="C151" s="45">
        <v>21</v>
      </c>
      <c r="D151" s="126" t="str">
        <f t="shared" si="12"/>
        <v>1h 45 min</v>
      </c>
      <c r="E151" s="46" t="s">
        <v>88</v>
      </c>
      <c r="F151" s="221"/>
      <c r="G151" s="222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135" t="s">
        <v>64</v>
      </c>
      <c r="C156" s="66">
        <f>SUM(C148:C155)</f>
        <v>48</v>
      </c>
      <c r="D156" s="135" t="str">
        <f xml:space="preserve"> setValueToTime(C156)</f>
        <v>4h</v>
      </c>
      <c r="E156" s="96"/>
      <c r="F156" s="232"/>
      <c r="G156" s="233"/>
      <c r="H156" s="152"/>
    </row>
    <row r="157" spans="2:8" s="43" customFormat="1" x14ac:dyDescent="0.3">
      <c r="B157" s="60"/>
      <c r="C157" s="60"/>
      <c r="D157" s="60"/>
      <c r="E157" s="60"/>
      <c r="F157" s="60"/>
      <c r="G157" s="60"/>
      <c r="H157" s="152"/>
    </row>
  </sheetData>
  <sheetProtection formatRows="0" insertRows="0" insertHyperlinks="0" deleteRows="0" selectLockedCells="1"/>
  <mergeCells count="13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52:G15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</mergeCells>
  <phoneticPr fontId="0" type="noConversion"/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48:C155 C136:C143 C124:C131 C112:C119 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56 C144 C132 C120 C108 C96 C84 C72 C60 C48 C36 C24 C12" xr:uid="{B1E4F606-70F8-4592-9A4D-BF16149A540A}">
      <formula1>0</formula1>
      <formula2>60</formula2>
    </dataValidation>
  </dataValidations>
  <hyperlinks>
    <hyperlink ref="F77" r:id="rId1" xr:uid="{B0BAD6AA-D6FF-4F88-8208-40013B477C09}"/>
    <hyperlink ref="F66" r:id="rId2" display="https://stackoverflow.com/questions/48120995/how-do-i-center-the-entire-datatable-in-the-pdf-using-jquery-pdfhtml5" xr:uid="{448DE30E-E661-4715-996C-DB07A4E3A300}"/>
    <hyperlink ref="F41" r:id="rId3" xr:uid="{83889B8A-FA41-44D2-82DD-0C6C5A45B8FB}"/>
    <hyperlink ref="F40" r:id="rId4" xr:uid="{A92F1AA2-3B4B-48E6-88A5-7BC16C4AEE0B}"/>
    <hyperlink ref="F29" r:id="rId5" xr:uid="{DDBA14F4-DB00-41E3-B545-EC4AD69A5902}"/>
    <hyperlink ref="F52" r:id="rId6" xr:uid="{5B5D9080-F888-47C9-85F9-20FF5C8A5D75}"/>
  </hyperlinks>
  <printOptions horizontalCentered="1" verticalCentered="1"/>
  <pageMargins left="0.25" right="0.25" top="0.75" bottom="0.75" header="0.3" footer="0.3"/>
  <pageSetup paperSize="8" fitToHeight="0" orientation="landscape" r:id="rId7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4" r:id="rId10" name="btnRapatriementJournal">
          <controlPr defaultSize="0" autoLine="0" r:id="rId11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0" name="btnRapatriementJournal"/>
      </mc:Fallback>
    </mc:AlternateContent>
    <mc:AlternateContent xmlns:mc="http://schemas.openxmlformats.org/markup-compatibility/2006">
      <mc:Choice Requires="x14">
        <control shapeId="9220" r:id="rId12" name="btnAjoutSeqJournal">
          <controlPr defaultSize="0" autoLine="0" r:id="rId13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2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7" t="s">
        <v>57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9"/>
      <c r="BI13" s="73"/>
    </row>
    <row r="14" spans="1:61" ht="15.75" thickBot="1" x14ac:dyDescent="0.35">
      <c r="A14" s="81"/>
      <c r="B14" s="82"/>
      <c r="C14" s="82"/>
      <c r="D14" s="82"/>
      <c r="E14" s="198" t="s">
        <v>41</v>
      </c>
      <c r="F14" s="198"/>
      <c r="G14" s="198"/>
      <c r="H14" s="198"/>
      <c r="I14" s="82"/>
      <c r="J14" s="82"/>
      <c r="K14" s="199" t="s">
        <v>42</v>
      </c>
      <c r="L14" s="199"/>
      <c r="M14" s="199"/>
      <c r="N14" s="199"/>
      <c r="O14" s="102"/>
      <c r="P14" s="102"/>
      <c r="Q14" s="198" t="s">
        <v>43</v>
      </c>
      <c r="R14" s="198"/>
      <c r="S14" s="198"/>
      <c r="T14" s="198"/>
      <c r="U14" s="82"/>
      <c r="V14" s="82"/>
      <c r="W14" s="199" t="s">
        <v>44</v>
      </c>
      <c r="X14" s="199"/>
      <c r="Y14" s="199"/>
      <c r="Z14" s="199"/>
      <c r="AA14" s="102"/>
      <c r="AB14" s="102"/>
      <c r="AC14" s="198" t="s">
        <v>45</v>
      </c>
      <c r="AD14" s="198"/>
      <c r="AE14" s="198"/>
      <c r="AF14" s="198"/>
      <c r="AG14" s="82"/>
      <c r="AH14" s="82"/>
      <c r="AI14" s="199" t="s">
        <v>46</v>
      </c>
      <c r="AJ14" s="199"/>
      <c r="AK14" s="199"/>
      <c r="AL14" s="199"/>
      <c r="AM14" s="102"/>
      <c r="AN14" s="102"/>
      <c r="AO14" s="198" t="s">
        <v>47</v>
      </c>
      <c r="AP14" s="198"/>
      <c r="AQ14" s="198"/>
      <c r="AR14" s="198"/>
      <c r="AS14" s="82"/>
      <c r="AT14" s="82"/>
      <c r="AU14" s="199" t="s">
        <v>48</v>
      </c>
      <c r="AV14" s="199"/>
      <c r="AW14" s="199"/>
      <c r="AX14" s="199"/>
      <c r="AY14" s="102"/>
      <c r="AZ14" s="102"/>
      <c r="BA14" s="198" t="s">
        <v>49</v>
      </c>
      <c r="BB14" s="198"/>
      <c r="BC14" s="198"/>
      <c r="BD14" s="19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2025-05-09T14:21:42Z</cp:lastPrinted>
  <dcterms:created xsi:type="dcterms:W3CDTF">1996-10-21T11:03:58Z</dcterms:created>
  <dcterms:modified xsi:type="dcterms:W3CDTF">2025-05-09T14:26:23Z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